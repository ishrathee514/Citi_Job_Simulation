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Share Price</t>
        </is>
      </c>
      <c r="C1" t="inlineStr">
        <is>
          <t>Shares Out (mm)</t>
        </is>
      </c>
      <c r="D1" t="inlineStr">
        <is>
          <t>Market Cap ($mm)</t>
        </is>
      </c>
      <c r="E1" t="inlineStr">
        <is>
          <t>Net Debt ($mm)</t>
        </is>
      </c>
      <c r="F1" t="inlineStr">
        <is>
          <t>Enterprise Value ($mm)</t>
        </is>
      </c>
      <c r="G1" t="inlineStr">
        <is>
          <t>Revenue ($mm)</t>
        </is>
      </c>
      <c r="H1" t="inlineStr">
        <is>
          <t>EBITDA ($mm)</t>
        </is>
      </c>
      <c r="I1" t="inlineStr">
        <is>
          <t>EV/Revenue</t>
        </is>
      </c>
      <c r="J1" t="inlineStr">
        <is>
          <t>EV/EBITDA</t>
        </is>
      </c>
    </row>
    <row r="2">
      <c r="A2" t="inlineStr">
        <is>
          <t>Best Buy</t>
        </is>
      </c>
      <c r="B2" t="n">
        <v>80.89</v>
      </c>
      <c r="C2" t="n">
        <v>225.5</v>
      </c>
      <c r="D2">
        <f>B2*C2</f>
        <v/>
      </c>
      <c r="E2" t="n">
        <v>2000</v>
      </c>
      <c r="F2">
        <f>D2+E2</f>
        <v/>
      </c>
      <c r="G2" t="n">
        <v>51300</v>
      </c>
      <c r="H2" t="n">
        <v>3300</v>
      </c>
      <c r="I2">
        <f>F2/G2</f>
        <v/>
      </c>
      <c r="J2">
        <f>F2/H2</f>
        <v/>
      </c>
    </row>
    <row r="3">
      <c r="A3" t="inlineStr">
        <is>
          <t>Target</t>
        </is>
      </c>
      <c r="B3" t="n">
        <v>150</v>
      </c>
      <c r="C3" t="n">
        <v>456</v>
      </c>
      <c r="D3">
        <f>B3*C3</f>
        <v/>
      </c>
      <c r="E3" t="n">
        <v>18000</v>
      </c>
      <c r="F3">
        <f>D3+E3</f>
        <v/>
      </c>
      <c r="G3" t="n">
        <v>109000</v>
      </c>
      <c r="H3" t="n">
        <v>10000</v>
      </c>
      <c r="I3">
        <f>F3/G3</f>
        <v/>
      </c>
      <c r="J3">
        <f>F3/H3</f>
        <v/>
      </c>
    </row>
    <row r="4">
      <c r="A4" t="inlineStr">
        <is>
          <t>Home Depot</t>
        </is>
      </c>
      <c r="B4" t="n">
        <v>360</v>
      </c>
      <c r="C4" t="n">
        <v>1010</v>
      </c>
      <c r="D4">
        <f>B4*C4</f>
        <v/>
      </c>
      <c r="E4" t="n">
        <v>35000</v>
      </c>
      <c r="F4">
        <f>D4+E4</f>
        <v/>
      </c>
      <c r="G4" t="n">
        <v>157000</v>
      </c>
      <c r="H4" t="n">
        <v>24000</v>
      </c>
      <c r="I4">
        <f>F4/G4</f>
        <v/>
      </c>
      <c r="J4">
        <f>F4/H4</f>
        <v/>
      </c>
    </row>
    <row r="5">
      <c r="A5" t="inlineStr">
        <is>
          <t>Walmart</t>
        </is>
      </c>
      <c r="B5" t="n">
        <v>165</v>
      </c>
      <c r="C5" t="n">
        <v>2700</v>
      </c>
      <c r="D5">
        <f>B5*C5</f>
        <v/>
      </c>
      <c r="E5" t="n">
        <v>45000</v>
      </c>
      <c r="F5">
        <f>D5+E5</f>
        <v/>
      </c>
      <c r="G5" t="n">
        <v>611000</v>
      </c>
      <c r="H5" t="n">
        <v>38000</v>
      </c>
      <c r="I5">
        <f>F5/G5</f>
        <v/>
      </c>
      <c r="J5">
        <f>F5/H5</f>
        <v/>
      </c>
    </row>
    <row r="6">
      <c r="A6" t="inlineStr">
        <is>
          <t>Costco</t>
        </is>
      </c>
      <c r="B6" t="n">
        <v>720</v>
      </c>
      <c r="C6" t="n">
        <v>445</v>
      </c>
      <c r="D6">
        <f>B6*C6</f>
        <v/>
      </c>
      <c r="E6" t="n">
        <v>8000</v>
      </c>
      <c r="F6">
        <f>D6+E6</f>
        <v/>
      </c>
      <c r="G6" t="n">
        <v>242000</v>
      </c>
      <c r="H6" t="n">
        <v>12000</v>
      </c>
      <c r="I6">
        <f>F6/G6</f>
        <v/>
      </c>
      <c r="J6">
        <f>F6/H6</f>
        <v/>
      </c>
    </row>
    <row r="7">
      <c r="A7" t="inlineStr">
        <is>
          <t>Kohl's</t>
        </is>
      </c>
      <c r="B7" t="n">
        <v>28</v>
      </c>
      <c r="C7" t="n">
        <v>111</v>
      </c>
      <c r="D7">
        <f>B7*C7</f>
        <v/>
      </c>
      <c r="E7" t="n">
        <v>7000</v>
      </c>
      <c r="F7">
        <f>D7+E7</f>
        <v/>
      </c>
      <c r="G7" t="n">
        <v>17500</v>
      </c>
      <c r="H7" t="n">
        <v>1200</v>
      </c>
      <c r="I7">
        <f>F7/G7</f>
        <v/>
      </c>
      <c r="J7">
        <f>F7/H7</f>
        <v/>
      </c>
    </row>
    <row r="8">
      <c r="A8" t="inlineStr">
        <is>
          <t>Lowe's</t>
        </is>
      </c>
      <c r="B8" t="n">
        <v>230</v>
      </c>
      <c r="C8" t="n">
        <v>600</v>
      </c>
      <c r="D8">
        <f>B8*C8</f>
        <v/>
      </c>
      <c r="E8" t="n">
        <v>28000</v>
      </c>
      <c r="F8">
        <f>D8+E8</f>
        <v/>
      </c>
      <c r="G8" t="n">
        <v>97000</v>
      </c>
      <c r="H8" t="n">
        <v>15000</v>
      </c>
      <c r="I8">
        <f>F8/G8</f>
        <v/>
      </c>
      <c r="J8">
        <f>F8/H8</f>
        <v/>
      </c>
    </row>
    <row r="9">
      <c r="A9" t="inlineStr">
        <is>
          <t>Macy's</t>
        </is>
      </c>
      <c r="B9" t="n">
        <v>20</v>
      </c>
      <c r="C9" t="n">
        <v>300</v>
      </c>
      <c r="D9">
        <f>B9*C9</f>
        <v/>
      </c>
      <c r="E9" t="n">
        <v>6000</v>
      </c>
      <c r="F9">
        <f>D9+E9</f>
        <v/>
      </c>
      <c r="G9" t="n">
        <v>24000</v>
      </c>
      <c r="H9" t="n">
        <v>1800</v>
      </c>
      <c r="I9">
        <f>F9/G9</f>
        <v/>
      </c>
      <c r="J9">
        <f>F9/H9</f>
        <v/>
      </c>
    </row>
    <row r="11">
      <c r="A11" t="inlineStr">
        <is>
          <t>Mean</t>
        </is>
      </c>
      <c r="I11">
        <f>AVERAGE(I2:I9)</f>
        <v/>
      </c>
      <c r="J11">
        <f>AVERAGE(J2:J9)</f>
        <v/>
      </c>
    </row>
    <row r="12">
      <c r="A12" t="inlineStr">
        <is>
          <t>Median</t>
        </is>
      </c>
      <c r="I12">
        <f>MEDIAN(I2:I9)</f>
        <v/>
      </c>
      <c r="J12">
        <f>MEDIAN(J2:J9)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2026-03-10T07:13:04Z</dcterms:created>
  <dcterms:modified xmlns:dcterms="http://purl.org/dc/terms/" xmlns:xsi="http://www.w3.org/2001/XMLSchema-instance" xsi:type="dcterms:W3CDTF">2026-03-10T07:13:04Z</dcterms:modified>
</cp:coreProperties>
</file>