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ra\Downloads\Projects\Citi Finance Certification\Task 1\"/>
    </mc:Choice>
  </mc:AlternateContent>
  <xr:revisionPtr revIDLastSave="0" documentId="8_{61FE1945-72E0-42E3-9576-293BAE7BF1D0}" xr6:coauthVersionLast="47" xr6:coauthVersionMax="47" xr10:uidLastSave="{00000000-0000-0000-0000-000000000000}"/>
  <bookViews>
    <workbookView xWindow="-23148" yWindow="-36" windowWidth="23256" windowHeight="12456" tabRatio="908"/>
  </bookViews>
  <sheets>
    <sheet name="Summary" sheetId="1" r:id="rId1"/>
    <sheet name="Income Statement" sheetId="2" r:id="rId2"/>
    <sheet name="Balance Sheet" sheetId="3" r:id="rId3"/>
    <sheet name="Segment_Rep Unit Details" sheetId="4" r:id="rId4"/>
    <sheet name="ICG" sheetId="5" r:id="rId5"/>
    <sheet name="ICG (Page 2)" sheetId="6" r:id="rId6"/>
    <sheet name="PBWM" sheetId="7" r:id="rId7"/>
    <sheet name="PBWM (Metrics)" sheetId="8" r:id="rId8"/>
    <sheet name="Legacy Franchises" sheetId="9" r:id="rId9"/>
    <sheet name="Corp_Other" sheetId="10" r:id="rId10"/>
    <sheet name="Averages - Yields " sheetId="11" r:id="rId11"/>
  </sheets>
  <definedNames>
    <definedName name="_Order1" hidden="1">255</definedName>
    <definedName name="_xlnm.Print_Area" localSheetId="10">'Averages - Yields '!$A$1:$V$49</definedName>
    <definedName name="_xlnm.Print_Area" localSheetId="2">'Balance Sheet'!$A$1:$J$73</definedName>
    <definedName name="_xlnm.Print_Area" localSheetId="9">Corp_Other!$A$1:$K$34</definedName>
    <definedName name="_xlnm.Print_Area" localSheetId="4">ICG!$A$1:$K$72</definedName>
    <definedName name="_xlnm.Print_Area" localSheetId="5">'ICG (Page 2)'!$A$1:$K$62</definedName>
    <definedName name="_xlnm.Print_Area" localSheetId="1">'Income Statement'!$A$1:$J$68</definedName>
    <definedName name="_xlnm.Print_Area" localSheetId="8">'Legacy Franchises'!$A$1:$L$62</definedName>
    <definedName name="_xlnm.Print_Area" localSheetId="6">PBWM!$A$1:$L$52</definedName>
    <definedName name="_xlnm.Print_Area" localSheetId="7">'PBWM (Metrics)'!$A$1:$K$54</definedName>
    <definedName name="_xlnm.Print_Area" localSheetId="3">'Segment_Rep Unit Details'!$A$1:$K$39</definedName>
    <definedName name="_xlnm.Print_Titles" localSheetId="10">'Averages - Yields '!$A:$D</definedName>
    <definedName name="_xlnm.Print_Titles" localSheetId="2">'Balance Sheet'!$A:$D</definedName>
    <definedName name="_xlnm.Print_Titles" localSheetId="9">Corp_Other!$A:$D</definedName>
    <definedName name="_xlnm.Print_Titles" localSheetId="4">ICG!$A:$D</definedName>
    <definedName name="_xlnm.Print_Titles" localSheetId="5">'ICG (Page 2)'!$A:$D</definedName>
    <definedName name="_xlnm.Print_Titles" localSheetId="1">'Income Statement'!$A:$D</definedName>
    <definedName name="_xlnm.Print_Titles" localSheetId="8">'Legacy Franchises'!$A:$D</definedName>
    <definedName name="_xlnm.Print_Titles" localSheetId="6">PBWM!$A:$D</definedName>
    <definedName name="_xlnm.Print_Titles" localSheetId="7">'PBWM (Metrics)'!$A:$D</definedName>
    <definedName name="_xlnm.Print_Titles" localSheetId="3">'Segment_Rep Unit Details'!$A:$D</definedName>
    <definedName name="wrn.cf." localSheetId="10" hidden="1">{"one",#N/A,FALSE,"cf";"two",#N/A,FALSE,"cf"}</definedName>
    <definedName name="wrn.cf." localSheetId="2" hidden="1">{"one",#N/A,FALSE,"cf";"two",#N/A,FALSE,"cf"}</definedName>
    <definedName name="wrn.cf." localSheetId="9" hidden="1">{"one",#N/A,FALSE,"cf";"two",#N/A,FALSE,"cf"}</definedName>
    <definedName name="wrn.cf." localSheetId="4" hidden="1">{"one",#N/A,FALSE,"cf";"two",#N/A,FALSE,"cf"}</definedName>
    <definedName name="wrn.cf." localSheetId="5" hidden="1">{"one",#N/A,FALSE,"cf";"two",#N/A,FALSE,"cf"}</definedName>
    <definedName name="wrn.cf." localSheetId="8" hidden="1">{"one",#N/A,FALSE,"cf";"two",#N/A,FALSE,"cf"}</definedName>
    <definedName name="wrn.cf." localSheetId="6" hidden="1">{"one",#N/A,FALSE,"cf";"two",#N/A,FALSE,"cf"}</definedName>
    <definedName name="wrn.cf." localSheetId="7" hidden="1">{"one",#N/A,FALSE,"cf";"two",#N/A,FALSE,"cf"}</definedName>
    <definedName name="wrn.cf." localSheetId="3" hidden="1">{"one",#N/A,FALSE,"cf";"two",#N/A,FALSE,"cf"}</definedName>
    <definedName name="wrn.cf." hidden="1">{"one",#N/A,FALSE,"cf";"two",#N/A,FALSE,"cf"}</definedName>
  </definedNames>
  <calcPr calcId="0" fullCalcOnLoad="1" fullPrecision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C8" i="1"/>
  <c r="D8" i="1"/>
  <c r="E8" i="1"/>
  <c r="E10" i="1"/>
  <c r="E12" i="1"/>
  <c r="E14" i="1"/>
  <c r="C15" i="1"/>
  <c r="D15" i="1"/>
  <c r="C17" i="1"/>
  <c r="D17" i="1"/>
  <c r="E17" i="1"/>
  <c r="E18" i="1"/>
  <c r="C19" i="1"/>
  <c r="D19" i="1"/>
  <c r="E19" i="1"/>
  <c r="C22" i="1"/>
  <c r="D22" i="1"/>
  <c r="E22" i="1"/>
  <c r="E25" i="1"/>
  <c r="E26" i="1"/>
</calcChain>
</file>

<file path=xl/sharedStrings.xml><?xml version="1.0" encoding="utf-8"?>
<sst xmlns="http://schemas.openxmlformats.org/spreadsheetml/2006/main" count="575" uniqueCount="310">
  <si>
    <t>($'m, unless as stated otherwise)</t>
  </si>
  <si>
    <t>2022 E</t>
  </si>
  <si>
    <t>2021 A</t>
  </si>
  <si>
    <t>2022 E vs. 2021 A Increase/ (Decrease)</t>
  </si>
  <si>
    <t>Institutional Clients Group</t>
  </si>
  <si>
    <t>Personal Banking and Wealth Management</t>
  </si>
  <si>
    <t>Legacy Franchises</t>
  </si>
  <si>
    <t>Corporate / Other</t>
  </si>
  <si>
    <t>NM</t>
  </si>
  <si>
    <t>Total revenues, net of interest expense</t>
  </si>
  <si>
    <t>Total operating expenses</t>
  </si>
  <si>
    <t>Net credit losses</t>
  </si>
  <si>
    <r>
      <t>Net ACL build / (release)</t>
    </r>
    <r>
      <rPr>
        <vertAlign val="superscript"/>
        <sz val="14"/>
        <color indexed="8"/>
        <rFont val="Arial"/>
        <family val="2"/>
      </rPr>
      <t>(a)</t>
    </r>
  </si>
  <si>
    <r>
      <t>Other provisions</t>
    </r>
    <r>
      <rPr>
        <vertAlign val="superscript"/>
        <sz val="14"/>
        <color indexed="8"/>
        <rFont val="Arial"/>
        <family val="2"/>
      </rPr>
      <t>(b)</t>
    </r>
  </si>
  <si>
    <t>Total cost of credit</t>
  </si>
  <si>
    <t>Income from continuing operations before income taxes</t>
  </si>
  <si>
    <t>Provision for income taxes</t>
  </si>
  <si>
    <t>Income from continuing operations</t>
  </si>
  <si>
    <t>Income (loss) from discountined operations, net of taxes</t>
  </si>
  <si>
    <t>Net income attributable to non-controling interest</t>
  </si>
  <si>
    <t>Citigroup's net income</t>
  </si>
  <si>
    <t>Income (loss) from continuing operations, net of taxes</t>
  </si>
  <si>
    <t>(a) Includes credit reserve build / (release) for loans and provision for credit losses on unfunded lending commitments.</t>
  </si>
  <si>
    <t>(b) Includes provisions for policyholder benefits and claims, HTM debt securities and other assets.</t>
  </si>
  <si>
    <t>CITIGROUP CONSOLIDATED STATEMENT OF INCOME</t>
  </si>
  <si>
    <t>(In millions of dollars)</t>
  </si>
  <si>
    <t>Revenues</t>
  </si>
  <si>
    <t>Interest revenue</t>
  </si>
  <si>
    <r>
      <t>Interest expense</t>
    </r>
    <r>
      <rPr>
        <vertAlign val="superscript"/>
        <sz val="14"/>
        <color indexed="8"/>
        <rFont val="Arial"/>
        <family val="2"/>
      </rPr>
      <t>(1)</t>
    </r>
  </si>
  <si>
    <t>Net interest income (NII)</t>
  </si>
  <si>
    <t>Commissions and fees</t>
  </si>
  <si>
    <t>Principal transactions</t>
  </si>
  <si>
    <t>Administrative and other fiduciary fees</t>
  </si>
  <si>
    <t xml:space="preserve">Realized gains (losses) on investments </t>
  </si>
  <si>
    <t>Impairment losses on investments and other assets</t>
  </si>
  <si>
    <r>
      <t>Provision for credit losses on AFS debt securities</t>
    </r>
    <r>
      <rPr>
        <vertAlign val="superscript"/>
        <sz val="14"/>
        <color indexed="8"/>
        <rFont val="Arial"/>
        <family val="2"/>
      </rPr>
      <t>(2)</t>
    </r>
  </si>
  <si>
    <t>-</t>
  </si>
  <si>
    <t>Other revenue (loss)</t>
  </si>
  <si>
    <t>Total non-interest revenues (NIR)</t>
  </si>
  <si>
    <t>Provisions for credit losses and for benefits and claims</t>
  </si>
  <si>
    <t>Credit reserve build / (release) for loans</t>
  </si>
  <si>
    <t>Provision for credit losses on loans</t>
  </si>
  <si>
    <t>Provision for credit losses on held-to-maturity (HTM) debt securities</t>
  </si>
  <si>
    <t>Provision for credit losses on other assets</t>
  </si>
  <si>
    <t>Policyholder benefits and claims</t>
  </si>
  <si>
    <t>Provision for credit losses on unfunded lending commitments</t>
  </si>
  <si>
    <r>
      <t>Total provisions for credit losses and for benefits and claims</t>
    </r>
    <r>
      <rPr>
        <b/>
        <vertAlign val="superscript"/>
        <sz val="14"/>
        <color indexed="8"/>
        <rFont val="Arial"/>
        <family val="2"/>
      </rPr>
      <t>(3)</t>
    </r>
  </si>
  <si>
    <t>Operating expenses</t>
  </si>
  <si>
    <t>Compensation and benefits</t>
  </si>
  <si>
    <t>Premises and equipment</t>
  </si>
  <si>
    <t>Technology / communication</t>
  </si>
  <si>
    <t>Advertising and marketing</t>
  </si>
  <si>
    <r>
      <t>Other operating</t>
    </r>
    <r>
      <rPr>
        <vertAlign val="superscript"/>
        <sz val="14"/>
        <color indexed="8"/>
        <rFont val="Arial"/>
        <family val="2"/>
      </rPr>
      <t>(1)</t>
    </r>
  </si>
  <si>
    <r>
      <t>Provision for income taxes</t>
    </r>
    <r>
      <rPr>
        <vertAlign val="superscript"/>
        <sz val="14"/>
        <color indexed="8"/>
        <rFont val="Arial"/>
        <family val="2"/>
      </rPr>
      <t>(4)</t>
    </r>
  </si>
  <si>
    <t>Income (loss) from continuing operations</t>
  </si>
  <si>
    <r>
      <t>Discontinued operations</t>
    </r>
    <r>
      <rPr>
        <b/>
        <vertAlign val="superscript"/>
        <sz val="14"/>
        <color indexed="8"/>
        <rFont val="Arial"/>
        <family val="2"/>
      </rPr>
      <t>(5)</t>
    </r>
    <r>
      <rPr>
        <b/>
        <sz val="14"/>
        <color indexed="8"/>
        <rFont val="Arial"/>
        <family val="2"/>
      </rPr>
      <t xml:space="preserve"> </t>
    </r>
  </si>
  <si>
    <t>Income (loss) from discontinued operations</t>
  </si>
  <si>
    <t>Provision (benefit) for income taxes</t>
  </si>
  <si>
    <t>Income (loss) from discontinued operations, net of taxes</t>
  </si>
  <si>
    <t>Net income before noncontrolling interests</t>
  </si>
  <si>
    <t>Net income (loss) attributable to noncontrolling interests</t>
  </si>
  <si>
    <t>(1)</t>
  </si>
  <si>
    <t xml:space="preserve">See footnote 1 on page 1. </t>
  </si>
  <si>
    <t>(2)</t>
  </si>
  <si>
    <t>This presentation is in accordance with ASC 326, which requires the provision for credit losses on AFS securities to be included in revenue.</t>
  </si>
  <si>
    <t>(3)</t>
  </si>
  <si>
    <t>This total excludes the provision for credit losses on AFS securities, which is disclosed separately above.</t>
  </si>
  <si>
    <t>(4)</t>
  </si>
  <si>
    <t xml:space="preserve">See footnote 5 on page 1. </t>
  </si>
  <si>
    <t>(5)</t>
  </si>
  <si>
    <t xml:space="preserve">See footnote 6 on page 1. </t>
  </si>
  <si>
    <t>NM  Not meaningful.</t>
  </si>
  <si>
    <t>Reclassified to conform to the current period's presentation.</t>
  </si>
  <si>
    <t>CITIGROUP CONSOLIDATED BALANCE SHEET</t>
  </si>
  <si>
    <t>Assets</t>
  </si>
  <si>
    <t>Cash and due from banks (including segregated cash and other deposits)</t>
  </si>
  <si>
    <t>Deposits with banks, net of allowance</t>
  </si>
  <si>
    <t>Securities borrowed and purchased under agreements to resell, net of allowance</t>
  </si>
  <si>
    <t>Brokerage receivables, net of allowance</t>
  </si>
  <si>
    <t xml:space="preserve">Trading account assets </t>
  </si>
  <si>
    <t xml:space="preserve">Investments </t>
  </si>
  <si>
    <t>Available-for-sale debt securities, net of allowance</t>
  </si>
  <si>
    <t>Held-to-maturity debt securities, net of allowance</t>
  </si>
  <si>
    <t>Equity securities</t>
  </si>
  <si>
    <t xml:space="preserve">Total investments </t>
  </si>
  <si>
    <t>Loans, net of unearned income</t>
  </si>
  <si>
    <r>
      <t>Consumer</t>
    </r>
    <r>
      <rPr>
        <vertAlign val="superscript"/>
        <sz val="14"/>
        <color indexed="8"/>
        <rFont val="Arial"/>
        <family val="2"/>
      </rPr>
      <t>(2)</t>
    </r>
    <r>
      <rPr>
        <sz val="14"/>
        <color indexed="8"/>
        <rFont val="Arial"/>
        <family val="2"/>
      </rPr>
      <t xml:space="preserve"> </t>
    </r>
  </si>
  <si>
    <r>
      <t>Corporate</t>
    </r>
    <r>
      <rPr>
        <vertAlign val="superscript"/>
        <sz val="14"/>
        <color indexed="8"/>
        <rFont val="Arial"/>
        <family val="2"/>
      </rPr>
      <t>(3)</t>
    </r>
  </si>
  <si>
    <t>Allowance for credit losses on loans (ACLL)</t>
  </si>
  <si>
    <t>Total loans, net</t>
  </si>
  <si>
    <t>Goodwill</t>
  </si>
  <si>
    <t>Intangible assets (including MSRs)</t>
  </si>
  <si>
    <t>Other assets, net of allowance</t>
  </si>
  <si>
    <t>Total assets</t>
  </si>
  <si>
    <t>Liabilities</t>
  </si>
  <si>
    <t>Non-interest-bearing deposits in U.S. offices</t>
  </si>
  <si>
    <t>Interest-bearing deposits in U.S. offices</t>
  </si>
  <si>
    <t>Total U.S. deposits</t>
  </si>
  <si>
    <t>Non-interest-bearing deposits in offices outside the U.S.</t>
  </si>
  <si>
    <t>Interest-bearing deposits in offices outside the U.S.</t>
  </si>
  <si>
    <t>Total international deposits</t>
  </si>
  <si>
    <t>Total deposits</t>
  </si>
  <si>
    <t>Securities loaned and sold under agreements to resell</t>
  </si>
  <si>
    <t>Brokerage payables</t>
  </si>
  <si>
    <t>Trading account liabilities</t>
  </si>
  <si>
    <t>Short-term borrowings</t>
  </si>
  <si>
    <t>Long-term debt</t>
  </si>
  <si>
    <r>
      <t>Other liabilities</t>
    </r>
    <r>
      <rPr>
        <vertAlign val="superscript"/>
        <sz val="14"/>
        <color indexed="8"/>
        <rFont val="Arial"/>
        <family val="2"/>
      </rPr>
      <t>(4)</t>
    </r>
  </si>
  <si>
    <t>Total liabilities</t>
  </si>
  <si>
    <t xml:space="preserve"> </t>
  </si>
  <si>
    <t>Equity</t>
  </si>
  <si>
    <t>Stockholders' equity</t>
  </si>
  <si>
    <t>Preferred stock</t>
  </si>
  <si>
    <t xml:space="preserve">Common stock </t>
  </si>
  <si>
    <t>Additional paid-in capital</t>
  </si>
  <si>
    <t>Retained earnings</t>
  </si>
  <si>
    <t>Treasury stock, at cost</t>
  </si>
  <si>
    <r>
      <t>Accumulated other comprehensive income (loss) (AOCI)</t>
    </r>
    <r>
      <rPr>
        <vertAlign val="superscript"/>
        <sz val="14"/>
        <color indexed="8"/>
        <rFont val="Arial"/>
        <family val="2"/>
      </rPr>
      <t>(5)</t>
    </r>
  </si>
  <si>
    <t>Total common equity</t>
  </si>
  <si>
    <t>Total Citigroup stockholders' equity</t>
  </si>
  <si>
    <t>Noncontrolling interests</t>
  </si>
  <si>
    <t>Total equity</t>
  </si>
  <si>
    <t>Total liabilities and equity</t>
  </si>
  <si>
    <t>Preliminary.</t>
  </si>
  <si>
    <t>Consumer loans include loans managed by PBWM and Legacy Franchises (other than Mexico Small Business &amp; Middle-Market Banking (Mexico SBMM) loans).</t>
  </si>
  <si>
    <t>Corporate loans include loans managed by ICG and Legacy Franchises-Mexico SBMM.</t>
  </si>
  <si>
    <t>Includes allowance for credit losses for unfunded lending commitments. See page 15.</t>
  </si>
  <si>
    <t>As discussed in footnote 2 on page 1, Citi's third quarter of 2021 results include an approximate $680 million loss on sale (an approximate $580 million after-tax), related to Citi’s</t>
  </si>
  <si>
    <t>agreement to sell its Australia consumer banking business. The loss primarily reflects the impact of an approximate $625 million ($475 million (after-tax)) currency translation</t>
  </si>
  <si>
    <t>adjustment (CTA) loss (net of hedges) at September 30, 2021, December 31, 2021 and March 31, 2022, already reflected in the Accumulated Other Comprehensive Income</t>
  </si>
  <si>
    <t>(AOCI) component of equity. The sale closed during the second quarter of 2022, and the CTA balance was removed from the AOCI component of equity as of the end of the</t>
  </si>
  <si>
    <t xml:space="preserve">second quarter of 2022, resulting in a neutral impact from CTA to Citi’s Common Equity Tier 1 Capital. </t>
  </si>
  <si>
    <t>OPERATING SEGMENT AND REPORTING UNIT DETAILS</t>
  </si>
  <si>
    <t>Net revenues</t>
  </si>
  <si>
    <t xml:space="preserve">Institutional Clients Group </t>
  </si>
  <si>
    <t>Corporate/Other</t>
  </si>
  <si>
    <t xml:space="preserve">Total net revenues </t>
  </si>
  <si>
    <t>Discontinued operations</t>
  </si>
  <si>
    <t>Net income attributable to noncontrolling interests</t>
  </si>
  <si>
    <t>Net income</t>
  </si>
  <si>
    <t xml:space="preserve">INSTITUTIONAL CLIENTS GROUP </t>
  </si>
  <si>
    <t>(In millions of dollars, except as otherwise noted)</t>
  </si>
  <si>
    <t>Administration and other fiduciary fees</t>
  </si>
  <si>
    <r>
      <t>Investment banking fees</t>
    </r>
    <r>
      <rPr>
        <vertAlign val="superscript"/>
        <sz val="14"/>
        <color indexed="8"/>
        <rFont val="Arial"/>
        <family val="2"/>
      </rPr>
      <t>(1)</t>
    </r>
  </si>
  <si>
    <t>Other</t>
  </si>
  <si>
    <t>Total non-interest revenue</t>
  </si>
  <si>
    <t>Net interest income (including dividends)</t>
  </si>
  <si>
    <t>Net credit losses on loans</t>
  </si>
  <si>
    <t>Provisions for credit losses for HTM debt securities and other assets</t>
  </si>
  <si>
    <t>Provision for credit losses</t>
  </si>
  <si>
    <t>Income from continuing operations before taxes</t>
  </si>
  <si>
    <t>Income taxes</t>
  </si>
  <si>
    <t>EOP assets (in billions)</t>
  </si>
  <si>
    <t>Average assets (in billions)</t>
  </si>
  <si>
    <t>Efficiency ratio</t>
  </si>
  <si>
    <t>Revenue by reporting unit</t>
  </si>
  <si>
    <t>Services</t>
  </si>
  <si>
    <t>Markets</t>
  </si>
  <si>
    <t>Banking</t>
  </si>
  <si>
    <t xml:space="preserve">Revenue by region </t>
  </si>
  <si>
    <t>North America</t>
  </si>
  <si>
    <t>EMEA</t>
  </si>
  <si>
    <t>Latin America</t>
  </si>
  <si>
    <t>Asia</t>
  </si>
  <si>
    <t xml:space="preserve">Income (loss) from continuing operations by region </t>
  </si>
  <si>
    <r>
      <t xml:space="preserve">Average loans by reporting unit </t>
    </r>
    <r>
      <rPr>
        <sz val="14"/>
        <color indexed="8"/>
        <rFont val="Arial"/>
        <family val="2"/>
      </rPr>
      <t>(in billions)</t>
    </r>
  </si>
  <si>
    <t>Total</t>
  </si>
  <si>
    <r>
      <t xml:space="preserve">Average deposits by reporting unit and selected component </t>
    </r>
    <r>
      <rPr>
        <sz val="14"/>
        <color indexed="8"/>
        <rFont val="Arial"/>
        <family val="2"/>
      </rPr>
      <t>(in billions)</t>
    </r>
  </si>
  <si>
    <t>Treasury and trade solutions (TTS)</t>
  </si>
  <si>
    <t>Securities services</t>
  </si>
  <si>
    <t>Markets &amp; Banking</t>
  </si>
  <si>
    <r>
      <t>Services Key Drivers</t>
    </r>
    <r>
      <rPr>
        <sz val="14"/>
        <color indexed="8"/>
        <rFont val="Arial"/>
        <family val="2"/>
      </rPr>
      <t xml:space="preserve"> (in billions of dollars, except as otherwise noted)</t>
    </r>
  </si>
  <si>
    <t>AUC/AUA (in trillions of dollars)</t>
  </si>
  <si>
    <t>Cross border transaction value</t>
  </si>
  <si>
    <t>U.S.-dollar clearing volume (in millions)</t>
  </si>
  <si>
    <t>Commercial card spend volume</t>
  </si>
  <si>
    <t>Investment banking fees are substantially composed of underwriting and advisory revenues.</t>
  </si>
  <si>
    <t>INSTITUTIONAL CLIENTS GROUP</t>
  </si>
  <si>
    <t>REPORTING UNIT REVENUES</t>
  </si>
  <si>
    <t>Net interest income</t>
  </si>
  <si>
    <t>Non-interest revenue</t>
  </si>
  <si>
    <t>Total Services revenues</t>
  </si>
  <si>
    <t>Treasury and trade solutions</t>
  </si>
  <si>
    <t>Total Markets revenues</t>
  </si>
  <si>
    <t>Fixed income markets</t>
  </si>
  <si>
    <t>Equity markets</t>
  </si>
  <si>
    <t xml:space="preserve">Total </t>
  </si>
  <si>
    <t>Rates and currencies</t>
  </si>
  <si>
    <t>Spread products / other fixed income</t>
  </si>
  <si>
    <t>Total fixed income markets revenues</t>
  </si>
  <si>
    <t>Total Banking revenues, including gain/(loss) on loan hedges</t>
  </si>
  <si>
    <t>Investment banking</t>
  </si>
  <si>
    <t xml:space="preserve">Advisory </t>
  </si>
  <si>
    <t>Equity underwriting</t>
  </si>
  <si>
    <t>Debt underwriting</t>
  </si>
  <si>
    <t>Total investment banking</t>
  </si>
  <si>
    <r>
      <t>Corporate lending - excluding gain/(loss) on loan hedges</t>
    </r>
    <r>
      <rPr>
        <vertAlign val="superscript"/>
        <sz val="14"/>
        <color indexed="8"/>
        <rFont val="Arial"/>
        <family val="2"/>
      </rPr>
      <t>(1)</t>
    </r>
  </si>
  <si>
    <r>
      <t>Total Banking revenues (ex-gain/(loss) on loan hedges)</t>
    </r>
    <r>
      <rPr>
        <b/>
        <vertAlign val="superscript"/>
        <sz val="14"/>
        <color indexed="8"/>
        <rFont val="Arial"/>
        <family val="2"/>
      </rPr>
      <t xml:space="preserve">(1) </t>
    </r>
  </si>
  <si>
    <r>
      <t>Gain/(loss) on loan hedges</t>
    </r>
    <r>
      <rPr>
        <vertAlign val="superscript"/>
        <sz val="14"/>
        <color indexed="8"/>
        <rFont val="Arial"/>
        <family val="2"/>
      </rPr>
      <t>(1)</t>
    </r>
  </si>
  <si>
    <r>
      <t>Total Banking revenues including gain/(loss) on loan hedges</t>
    </r>
    <r>
      <rPr>
        <b/>
        <vertAlign val="superscript"/>
        <sz val="14"/>
        <color indexed="8"/>
        <rFont val="Arial"/>
        <family val="2"/>
      </rPr>
      <t>(1)</t>
    </r>
  </si>
  <si>
    <t>Total ICG revenues, net of interest expense</t>
  </si>
  <si>
    <r>
      <t xml:space="preserve">  Taxable-equivalent adjustments</t>
    </r>
    <r>
      <rPr>
        <vertAlign val="superscript"/>
        <sz val="14"/>
        <color indexed="8"/>
        <rFont val="Arial"/>
        <family val="2"/>
      </rPr>
      <t>(2)</t>
    </r>
  </si>
  <si>
    <r>
      <t>Total ICG revenues - including taxable-equivalent adjustments</t>
    </r>
    <r>
      <rPr>
        <b/>
        <vertAlign val="superscript"/>
        <sz val="14"/>
        <color indexed="8"/>
        <rFont val="Arial"/>
        <family val="2"/>
      </rPr>
      <t>(2)</t>
    </r>
  </si>
  <si>
    <t>Credit derivatives are used to economically hedge a portion of the corporate loan portfolio that includes both accrual loans and loans at fair value. Gain/(loss) on</t>
  </si>
  <si>
    <t>loan hedges includes the mark-to-market on the credit derivatives partially offset by the mark-to-market on the loans in the portfolio that are at fair value. Hedges</t>
  </si>
  <si>
    <t>on accrual loans reflect the mark-to-market on credit derivatives used to economically hedge the corporate loan accrual portfolio. The fixed premium costs of these</t>
  </si>
  <si>
    <t>hedges are netted against the corporate lending revenues to reflect the cost of credit protection. Citigroup’s results of operations excluding the impact of</t>
  </si>
  <si>
    <t>gain/(loss) on loan hedges are non-GAAP financial measures.</t>
  </si>
  <si>
    <t>Primarily relates to income tax credits related to affordable housing and alternative energy investments as well as tax exempt income from municipal bond investments.</t>
  </si>
  <si>
    <t>PERSONAL BANKING AND WEALTH MANAGEMENT</t>
  </si>
  <si>
    <t xml:space="preserve">Total revenues, net of interest expense </t>
  </si>
  <si>
    <t>Provisions for benefits and claims, and other assets</t>
  </si>
  <si>
    <t>Provisions for credit losses and for benefits and claims (PBC)</t>
  </si>
  <si>
    <t>Income (loss) from continuing operations before taxes</t>
  </si>
  <si>
    <t>Income taxes (benefits)</t>
  </si>
  <si>
    <t>Net income (loss)</t>
  </si>
  <si>
    <t>Revenue by reporting unit and component</t>
  </si>
  <si>
    <t>Branded cards</t>
  </si>
  <si>
    <t>Retail services</t>
  </si>
  <si>
    <t>Retail banking</t>
  </si>
  <si>
    <t>U.S. Personal Banking</t>
  </si>
  <si>
    <t>Private bank</t>
  </si>
  <si>
    <t>Wealth at Work</t>
  </si>
  <si>
    <t>Citigold</t>
  </si>
  <si>
    <t>Global Wealth Management</t>
  </si>
  <si>
    <r>
      <t xml:space="preserve">Average deposits by reporting unit </t>
    </r>
    <r>
      <rPr>
        <sz val="14"/>
        <color indexed="8"/>
        <rFont val="Arial"/>
        <family val="2"/>
      </rPr>
      <t>(in billions)</t>
    </r>
  </si>
  <si>
    <t>Metrics</t>
  </si>
  <si>
    <r>
      <t>U.S. Personal Banking Key Indicators</t>
    </r>
    <r>
      <rPr>
        <b/>
        <u/>
        <sz val="12"/>
        <color indexed="8"/>
        <rFont val="Arial"/>
        <family val="2"/>
      </rPr>
      <t xml:space="preserve"> </t>
    </r>
    <r>
      <rPr>
        <u/>
        <sz val="12"/>
        <color indexed="8"/>
        <rFont val="Arial"/>
        <family val="2"/>
      </rPr>
      <t>(in billions of dollars, except as otherwise noted)</t>
    </r>
  </si>
  <si>
    <t>New account acquisitions (in thousands)</t>
  </si>
  <si>
    <t>Credit card spend volume</t>
  </si>
  <si>
    <r>
      <t>Average loans</t>
    </r>
    <r>
      <rPr>
        <vertAlign val="superscript"/>
        <sz val="14"/>
        <color indexed="8"/>
        <rFont val="Arial"/>
        <family val="2"/>
      </rPr>
      <t>(1)</t>
    </r>
  </si>
  <si>
    <r>
      <t>EOP loans</t>
    </r>
    <r>
      <rPr>
        <vertAlign val="superscript"/>
        <sz val="14"/>
        <color indexed="8"/>
        <rFont val="Arial"/>
        <family val="2"/>
      </rPr>
      <t>(1)</t>
    </r>
  </si>
  <si>
    <r>
      <t>NII as a % of average loans</t>
    </r>
    <r>
      <rPr>
        <vertAlign val="superscript"/>
        <sz val="14"/>
        <color indexed="8"/>
        <rFont val="Arial"/>
        <family val="2"/>
      </rPr>
      <t>(2)</t>
    </r>
  </si>
  <si>
    <t>NCLs as a % of average loans</t>
  </si>
  <si>
    <t>Loans 90+ days past due as a % of EOP loans</t>
  </si>
  <si>
    <t>Loans 30-89 days past due as a % of EOP loans</t>
  </si>
  <si>
    <t>Average deposits</t>
  </si>
  <si>
    <t>Branches (actual)</t>
  </si>
  <si>
    <t>Mortgage originations</t>
  </si>
  <si>
    <r>
      <t xml:space="preserve">Global Wealth Management Key Indicators </t>
    </r>
    <r>
      <rPr>
        <u/>
        <sz val="14"/>
        <color indexed="8"/>
        <rFont val="Arial"/>
        <family val="2"/>
      </rPr>
      <t>(in billions of dollars)</t>
    </r>
  </si>
  <si>
    <t>Client assets</t>
  </si>
  <si>
    <t>Average loans</t>
  </si>
  <si>
    <t>U.S. mortgage originations</t>
  </si>
  <si>
    <t>Average loans, EOP loans and the related consumer delinquency amounts and ratios include interest and fees receivables balances.</t>
  </si>
  <si>
    <t>Net interest income includes certain fees that are recorded as interest revenue.</t>
  </si>
  <si>
    <r>
      <t>LEGACY FRANCHISES</t>
    </r>
    <r>
      <rPr>
        <b/>
        <vertAlign val="superscript"/>
        <sz val="16"/>
        <color indexed="8"/>
        <rFont val="Arial"/>
        <family val="2"/>
      </rPr>
      <t>(1)</t>
    </r>
  </si>
  <si>
    <r>
      <t>Non-interest revenue</t>
    </r>
    <r>
      <rPr>
        <vertAlign val="superscript"/>
        <sz val="14"/>
        <color indexed="8"/>
        <rFont val="Arial"/>
        <family val="2"/>
      </rPr>
      <t>(2)(3)</t>
    </r>
  </si>
  <si>
    <r>
      <t>Total operating expenses</t>
    </r>
    <r>
      <rPr>
        <vertAlign val="superscript"/>
        <sz val="14"/>
        <color indexed="8"/>
        <rFont val="Arial"/>
        <family val="2"/>
      </rPr>
      <t>(3)(4)</t>
    </r>
  </si>
  <si>
    <t>Provisions for benefits and claims, HTM debt securities and other assets</t>
  </si>
  <si>
    <t>Asia Consumer</t>
  </si>
  <si>
    <t>Mexico Consumer/SBMM</t>
  </si>
  <si>
    <t>Legacy Holdings Assets</t>
  </si>
  <si>
    <r>
      <t xml:space="preserve">Asia Consumer - Key Indicators </t>
    </r>
    <r>
      <rPr>
        <u/>
        <sz val="14"/>
        <color indexed="8"/>
        <rFont val="Arial"/>
        <family val="2"/>
      </rPr>
      <t>(in billions of dollars)</t>
    </r>
  </si>
  <si>
    <t>EOP loans</t>
  </si>
  <si>
    <t>EOP deposits</t>
  </si>
  <si>
    <r>
      <t xml:space="preserve">Mexico Consumer/SBMM - Key Indicators </t>
    </r>
    <r>
      <rPr>
        <u/>
        <sz val="14"/>
        <color indexed="8"/>
        <rFont val="Arial"/>
        <family val="2"/>
      </rPr>
      <t>(in billions of dollars)</t>
    </r>
  </si>
  <si>
    <t>Loans 90+ days past due as a % of EOP loans (Mexico Consumer only)</t>
  </si>
  <si>
    <t>Loans 30-89 days past due as a % of EOP loans (Mexico Consumer only)</t>
  </si>
  <si>
    <r>
      <t xml:space="preserve">Legacy Holdings Assets - Key Indicators </t>
    </r>
    <r>
      <rPr>
        <u/>
        <sz val="14"/>
        <color indexed="8"/>
        <rFont val="Arial"/>
        <family val="2"/>
      </rPr>
      <t>(in billions of dollars)</t>
    </r>
  </si>
  <si>
    <t xml:space="preserve">(1) </t>
  </si>
  <si>
    <t>Legacy Franchises consists of the consumer franchises in 13 markets across Asia and EMEA that Citi intends to exit or has exited (Asia Consumer); the consumer, small business &amp; middle-market banking</t>
  </si>
  <si>
    <t>(Mexico SBMM) operations in Mexico (collectively Mexico Consumer/SBMM); and Legacy Holdings Assets (primarily North America consumer mortgage loans and other legacy assets).</t>
  </si>
  <si>
    <t xml:space="preserve">See footnote 2 on page 1. </t>
  </si>
  <si>
    <t xml:space="preserve">See footnote 3 on page 1. </t>
  </si>
  <si>
    <t xml:space="preserve">See footnote 4 on page 1. </t>
  </si>
  <si>
    <r>
      <t>CORPORATE / OTHER</t>
    </r>
    <r>
      <rPr>
        <b/>
        <vertAlign val="superscript"/>
        <sz val="16"/>
        <color indexed="8"/>
        <rFont val="Arial"/>
        <family val="2"/>
      </rPr>
      <t>(1)</t>
    </r>
  </si>
  <si>
    <t>Provisions for HTM debt securities and other assets</t>
  </si>
  <si>
    <r>
      <t>Income (loss) from discontinued operations, net of taxes</t>
    </r>
    <r>
      <rPr>
        <b/>
        <vertAlign val="superscript"/>
        <sz val="14"/>
        <color indexed="8"/>
        <rFont val="Arial"/>
        <family val="2"/>
      </rPr>
      <t>(2)</t>
    </r>
  </si>
  <si>
    <t>Includes certain unallocated costs of global staff functions (including finance, risk, human resources, legal and compliance-related costs), other corporate expenses and</t>
  </si>
  <si>
    <t>unallocated global operations and technology expenses and income taxes, as well as Corporate Treasury Investment activities and discontinued operations.</t>
  </si>
  <si>
    <r>
      <t>AVERAGE BALANCES AND INTEREST RATES</t>
    </r>
    <r>
      <rPr>
        <b/>
        <vertAlign val="superscript"/>
        <sz val="16"/>
        <color indexed="8"/>
        <rFont val="Arial"/>
        <family val="2"/>
      </rPr>
      <t>(1)(2)(3)(4)(5)</t>
    </r>
  </si>
  <si>
    <t>Taxable Equivalent Basis</t>
  </si>
  <si>
    <t xml:space="preserve">Average Volumes </t>
  </si>
  <si>
    <t>Interest</t>
  </si>
  <si>
    <r>
      <t xml:space="preserve">% Average Rate </t>
    </r>
    <r>
      <rPr>
        <b/>
        <vertAlign val="superscript"/>
        <sz val="14"/>
        <color indexed="8"/>
        <rFont val="Arial"/>
        <family val="2"/>
      </rPr>
      <t>(4)</t>
    </r>
  </si>
  <si>
    <t>In millions of dollars, except as otherwise noted</t>
  </si>
  <si>
    <r>
      <t>Deposits with banks</t>
    </r>
    <r>
      <rPr>
        <vertAlign val="superscript"/>
        <sz val="14"/>
        <color indexed="8"/>
        <rFont val="Arial"/>
        <family val="2"/>
      </rPr>
      <t xml:space="preserve"> </t>
    </r>
  </si>
  <si>
    <r>
      <t>Securities borrowed and purchased under resale agreements</t>
    </r>
    <r>
      <rPr>
        <vertAlign val="superscript"/>
        <sz val="14"/>
        <color indexed="8"/>
        <rFont val="Arial"/>
        <family val="2"/>
      </rPr>
      <t>(6)</t>
    </r>
  </si>
  <si>
    <r>
      <t>Trading account assets</t>
    </r>
    <r>
      <rPr>
        <vertAlign val="superscript"/>
        <sz val="14"/>
        <color indexed="8"/>
        <rFont val="Arial"/>
        <family val="2"/>
      </rPr>
      <t xml:space="preserve">(7) </t>
    </r>
  </si>
  <si>
    <t>Investments</t>
  </si>
  <si>
    <t xml:space="preserve">     Consumer loans</t>
  </si>
  <si>
    <t xml:space="preserve">     Corporate loans</t>
  </si>
  <si>
    <r>
      <t>Total loans (net of unearned income)</t>
    </r>
    <r>
      <rPr>
        <vertAlign val="superscript"/>
        <sz val="14"/>
        <color indexed="8"/>
        <rFont val="Arial"/>
        <family val="2"/>
      </rPr>
      <t>(8)</t>
    </r>
  </si>
  <si>
    <t>Other interest-earning assets</t>
  </si>
  <si>
    <t xml:space="preserve">Total average interest-earning assets </t>
  </si>
  <si>
    <r>
      <t>Deposits</t>
    </r>
    <r>
      <rPr>
        <vertAlign val="superscript"/>
        <sz val="14"/>
        <color indexed="8"/>
        <rFont val="Arial"/>
        <family val="2"/>
      </rPr>
      <t>(9)</t>
    </r>
  </si>
  <si>
    <r>
      <t>Securities loaned and sold under repurchase agreements</t>
    </r>
    <r>
      <rPr>
        <vertAlign val="superscript"/>
        <sz val="14"/>
        <color indexed="8"/>
        <rFont val="Arial"/>
        <family val="2"/>
      </rPr>
      <t>(6)</t>
    </r>
  </si>
  <si>
    <r>
      <t>Trading account liabilities</t>
    </r>
    <r>
      <rPr>
        <vertAlign val="superscript"/>
        <sz val="14"/>
        <color indexed="8"/>
        <rFont val="Arial"/>
        <family val="2"/>
      </rPr>
      <t>(7)</t>
    </r>
  </si>
  <si>
    <t>Short-term borrowings and other interest-bearing liabilities</t>
  </si>
  <si>
    <r>
      <t>Long-term debt</t>
    </r>
    <r>
      <rPr>
        <vertAlign val="superscript"/>
        <sz val="14"/>
        <color indexed="8"/>
        <rFont val="Arial"/>
        <family val="2"/>
      </rPr>
      <t>(10)</t>
    </r>
  </si>
  <si>
    <t>Total average interest-bearing liabilities</t>
  </si>
  <si>
    <r>
      <t>Net interest income as a % of average interest-earning assets (NIM)</t>
    </r>
    <r>
      <rPr>
        <b/>
        <vertAlign val="superscript"/>
        <sz val="14"/>
        <color indexed="8"/>
        <rFont val="Arial"/>
        <family val="2"/>
      </rPr>
      <t>(9)</t>
    </r>
  </si>
  <si>
    <t>4Q22 increase (decrease) from:</t>
  </si>
  <si>
    <t>bps</t>
  </si>
  <si>
    <t>Interest revenue and Net interest income include the taxable equivalent adjustments (based on the U.S. federal statutory tax rate of 21%) of $42 million for 4Q21, $46 million for 3Q22 and $33 million for 4Q22.</t>
  </si>
  <si>
    <t>Citigroup average balances and interest rates include both domestic and international operations.</t>
  </si>
  <si>
    <t>Monthly averages have been used by certain subsidiaries where daily averages are unavailable.</t>
  </si>
  <si>
    <t>Average rate percentage is calculated as annualized interest over average volumes.</t>
  </si>
  <si>
    <t>4Q22 is preliminary.</t>
  </si>
  <si>
    <t>(6)</t>
  </si>
  <si>
    <t>Average volumes of securities borrowed or purchased under agreements to resell and securities loaned or sold under agreements to repurchase are reported net pursuant to FIN 41; the related interest</t>
  </si>
  <si>
    <t>excludes the impact of ASU 2013-01 (Topic 210).</t>
  </si>
  <si>
    <t>(7)</t>
  </si>
  <si>
    <t>Interest expense on trading account liabilities of ICG is reported as a reduction of interest revenue. Interest revenue and interest expense on cash collateral positions are reported in trading account assets and</t>
  </si>
  <si>
    <t>trading account liabilities, respectively.</t>
  </si>
  <si>
    <t>(8)</t>
  </si>
  <si>
    <t>Nonperforming loans are included in the average loan balances.</t>
  </si>
  <si>
    <t>(9)</t>
  </si>
  <si>
    <t>(10)</t>
  </si>
  <si>
    <t>Excludes hybrid financial instruments with changes in fair value recorded in Principal transactions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</si>
</sst>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0%;\(0%\)"/>
    <numFmt numFmtId="181" formatCode="0.0%"/>
    <numFmt numFmtId="182" formatCode="_(&quot;$&quot;* #,##0.0_);_(&quot;$&quot;* \(#,##0.0\);_(&quot;$&quot;* &quot;-&quot;??_);_(@_)"/>
    <numFmt numFmtId="184" formatCode="_(* #,##0_);_(* \(#,##0\);_(* &quot;-&quot;?_);_(@_)"/>
    <numFmt numFmtId="185" formatCode="_(&quot;$&quot;* #,##0_);_(&quot;$&quot;* \(#,##0\);_(&quot;$&quot;* &quot;-&quot;?_);_(@_)"/>
    <numFmt numFmtId="186" formatCode="#,##0.0"/>
    <numFmt numFmtId="189" formatCode="_(&quot;$&quot;* #,##0.000_);_(&quot;$&quot;* \(#,##0.000\);_(&quot;$&quot;* &quot;-&quot;??_);_(@_)"/>
    <numFmt numFmtId="190" formatCode="&quot;$&quot;#,##0"/>
    <numFmt numFmtId="191" formatCode="General_)"/>
    <numFmt numFmtId="192" formatCode="mm/dd/yy"/>
    <numFmt numFmtId="193" formatCode="_(&quot;$&quot;* #,##0_);_(&quot;$&quot;* \(#,##0\);_(&quot;$&quot;* &quot;-&quot;??_);_(@_)"/>
    <numFmt numFmtId="194" formatCode="_(* #,##0_);_(* \(#,##0\);_(* &quot;-&quot;??_);_(@_)"/>
    <numFmt numFmtId="195" formatCode="_(* #,##0.0_);_(* \(#,##0.0\);_(* &quot;-&quot;??_);_(@_)"/>
    <numFmt numFmtId="197" formatCode="_(* #,##0.0_);_(* \(#,##0.0\);_(* &quot;-&quot;?_);_(@_)"/>
    <numFmt numFmtId="198" formatCode="_(* #,##0.0_);_(* \(#,##0.0\);_(* &quot;-&quot;_);_(@_)"/>
    <numFmt numFmtId="199" formatCode="0.00%;\(0.00%\)"/>
    <numFmt numFmtId="204" formatCode="#,##0\ &quot;bps&quot;;\(#,##0\)\ &quot;bps&quot;"/>
  </numFmts>
  <fonts count="46" x14ac:knownFonts="1">
    <font>
      <sz val="10"/>
      <name val="Times New Roman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sz val="12"/>
      <name val="Tms Rmn"/>
    </font>
    <font>
      <sz val="10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Helv"/>
    </font>
    <font>
      <sz val="8"/>
      <name val="Helv"/>
    </font>
    <font>
      <sz val="12"/>
      <name val="Times New Roman"/>
      <family val="1"/>
    </font>
    <font>
      <b/>
      <sz val="8"/>
      <color indexed="8"/>
      <name val="Helv"/>
    </font>
    <font>
      <sz val="12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Times New Roman"/>
      <family val="1"/>
    </font>
    <font>
      <vertAlign val="superscript"/>
      <sz val="14"/>
      <color indexed="8"/>
      <name val="Arial"/>
      <family val="2"/>
    </font>
    <font>
      <sz val="10"/>
      <color indexed="56"/>
      <name val="Arial"/>
      <family val="2"/>
    </font>
    <font>
      <b/>
      <sz val="16"/>
      <color indexed="8"/>
      <name val="Arial"/>
      <family val="2"/>
    </font>
    <font>
      <i/>
      <sz val="14"/>
      <color indexed="8"/>
      <name val="Arial"/>
      <family val="2"/>
    </font>
    <font>
      <u/>
      <sz val="14"/>
      <color indexed="8"/>
      <name val="Arial"/>
      <family val="2"/>
    </font>
    <font>
      <b/>
      <u/>
      <sz val="12"/>
      <color indexed="8"/>
      <name val="Arial"/>
      <family val="2"/>
    </font>
    <font>
      <b/>
      <sz val="14"/>
      <color indexed="8"/>
      <name val="MS Sans Serif"/>
      <family val="2"/>
    </font>
    <font>
      <sz val="13"/>
      <color indexed="8"/>
      <name val="Arial"/>
      <family val="2"/>
    </font>
    <font>
      <u/>
      <sz val="12"/>
      <color indexed="8"/>
      <name val="Arial"/>
      <family val="2"/>
    </font>
    <font>
      <b/>
      <vertAlign val="superscript"/>
      <sz val="14"/>
      <color indexed="8"/>
      <name val="Arial"/>
      <family val="2"/>
    </font>
    <font>
      <sz val="14"/>
      <color indexed="8"/>
      <name val="MS Sans Serif"/>
      <family val="2"/>
    </font>
    <font>
      <sz val="12"/>
      <color indexed="8"/>
      <name val="MS Sans Serif"/>
      <family val="2"/>
    </font>
    <font>
      <sz val="12"/>
      <color indexed="8"/>
      <name val="Times New Roman"/>
      <family val="1"/>
    </font>
    <font>
      <b/>
      <vertAlign val="superscript"/>
      <sz val="16"/>
      <color indexed="8"/>
      <name val="Arial"/>
      <family val="2"/>
    </font>
    <font>
      <b/>
      <sz val="15"/>
      <color indexed="8"/>
      <name val="Arial"/>
      <family val="2"/>
    </font>
    <font>
      <sz val="14"/>
      <name val="Arial"/>
      <family val="2"/>
    </font>
    <font>
      <b/>
      <sz val="14"/>
      <color indexed="9"/>
      <name val="Arial"/>
      <family val="2"/>
    </font>
    <font>
      <b/>
      <sz val="14"/>
      <color indexed="8"/>
      <name val="Arial"/>
      <family val="2"/>
    </font>
    <font>
      <vertAlign val="superscript"/>
      <sz val="14"/>
      <color indexed="8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/>
      <right style="dashed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ashed">
        <color indexed="64"/>
      </right>
      <top/>
      <bottom style="thick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21">
    <xf numFmtId="0" fontId="0" fillId="0" borderId="0"/>
    <xf numFmtId="0" fontId="4" fillId="0" borderId="0" applyNumberFormat="0" applyFill="0" applyBorder="0" applyAlignment="0" applyProtection="0"/>
    <xf numFmtId="190" fontId="3" fillId="0" borderId="0" applyFill="0" applyBorder="0" applyAlignment="0"/>
    <xf numFmtId="190" fontId="15" fillId="0" borderId="0" applyFill="0" applyBorder="0" applyAlignment="0"/>
    <xf numFmtId="190" fontId="3" fillId="0" borderId="0" applyFill="0" applyBorder="0" applyAlignment="0"/>
    <xf numFmtId="190" fontId="16" fillId="0" borderId="0" applyFill="0" applyBorder="0" applyAlignment="0"/>
    <xf numFmtId="190" fontId="3" fillId="0" borderId="0" applyFill="0" applyBorder="0" applyAlignment="0"/>
    <xf numFmtId="190" fontId="16" fillId="0" borderId="0" applyFill="0" applyBorder="0" applyAlignment="0"/>
    <xf numFmtId="190" fontId="3" fillId="0" borderId="0" applyFill="0" applyBorder="0" applyAlignment="0"/>
    <xf numFmtId="190" fontId="16" fillId="0" borderId="0" applyFill="0" applyBorder="0" applyAlignment="0"/>
    <xf numFmtId="190" fontId="3" fillId="0" borderId="0" applyFill="0" applyBorder="0" applyAlignment="0"/>
    <xf numFmtId="190" fontId="16" fillId="0" borderId="0" applyFill="0" applyBorder="0" applyAlignment="0"/>
    <xf numFmtId="190" fontId="3" fillId="0" borderId="0" applyFill="0" applyBorder="0" applyAlignment="0"/>
    <xf numFmtId="190" fontId="16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79" fontId="3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1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1" fillId="0" borderId="0" applyFont="0" applyFill="0" applyBorder="0" applyAlignment="0" applyProtection="0"/>
    <xf numFmtId="191" fontId="4" fillId="0" borderId="1"/>
    <xf numFmtId="0" fontId="6" fillId="0" borderId="0" applyNumberFormat="0" applyAlignment="0">
      <alignment horizontal="left"/>
    </xf>
    <xf numFmtId="178" fontId="3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7" fillId="0" borderId="0" applyNumberFormat="0" applyAlignment="0">
      <alignment horizontal="left"/>
    </xf>
    <xf numFmtId="38" fontId="8" fillId="2" borderId="0" applyNumberFormat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3">
      <alignment horizontal="left" vertical="center"/>
    </xf>
    <xf numFmtId="10" fontId="8" fillId="3" borderId="4" applyNumberFormat="0" applyBorder="0" applyAlignment="0" applyProtection="0"/>
    <xf numFmtId="0" fontId="3" fillId="0" borderId="0"/>
    <xf numFmtId="0" fontId="15" fillId="0" borderId="0"/>
    <xf numFmtId="0" fontId="3" fillId="0" borderId="0"/>
    <xf numFmtId="0" fontId="16" fillId="0" borderId="0"/>
    <xf numFmtId="0" fontId="3" fillId="0" borderId="0"/>
    <xf numFmtId="0" fontId="16" fillId="0" borderId="0"/>
    <xf numFmtId="0" fontId="3" fillId="0" borderId="0"/>
    <xf numFmtId="0" fontId="16" fillId="0" borderId="0"/>
    <xf numFmtId="0" fontId="3" fillId="0" borderId="0"/>
    <xf numFmtId="0" fontId="16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45" fillId="0" borderId="0"/>
    <xf numFmtId="0" fontId="45" fillId="0" borderId="0"/>
    <xf numFmtId="0" fontId="18" fillId="0" borderId="0">
      <alignment vertical="top"/>
    </xf>
    <xf numFmtId="0" fontId="18" fillId="0" borderId="0">
      <alignment vertical="top"/>
    </xf>
    <xf numFmtId="0" fontId="45" fillId="0" borderId="0"/>
    <xf numFmtId="0" fontId="45" fillId="0" borderId="0"/>
    <xf numFmtId="0" fontId="18" fillId="0" borderId="0">
      <alignment vertical="top"/>
    </xf>
    <xf numFmtId="0" fontId="18" fillId="0" borderId="0">
      <alignment vertical="top"/>
    </xf>
    <xf numFmtId="0" fontId="3" fillId="0" borderId="0"/>
    <xf numFmtId="0" fontId="18" fillId="0" borderId="0">
      <alignment vertical="top"/>
    </xf>
    <xf numFmtId="0" fontId="18" fillId="0" borderId="0">
      <alignment vertical="top"/>
    </xf>
    <xf numFmtId="0" fontId="3" fillId="0" borderId="0"/>
    <xf numFmtId="0" fontId="18" fillId="0" borderId="0">
      <alignment vertical="top"/>
    </xf>
    <xf numFmtId="0" fontId="18" fillId="0" borderId="0">
      <alignment vertical="top"/>
    </xf>
    <xf numFmtId="0" fontId="26" fillId="0" borderId="0"/>
    <xf numFmtId="0" fontId="18" fillId="0" borderId="0">
      <alignment vertical="top"/>
    </xf>
    <xf numFmtId="0" fontId="18" fillId="0" borderId="0">
      <alignment vertical="top"/>
    </xf>
    <xf numFmtId="0" fontId="26" fillId="0" borderId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26" fillId="0" borderId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8" fillId="0" borderId="0">
      <alignment vertical="top"/>
    </xf>
    <xf numFmtId="0" fontId="3" fillId="0" borderId="0"/>
    <xf numFmtId="0" fontId="45" fillId="0" borderId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5" fillId="0" borderId="0"/>
    <xf numFmtId="0" fontId="3" fillId="0" borderId="0"/>
    <xf numFmtId="0" fontId="45" fillId="0" borderId="0"/>
    <xf numFmtId="0" fontId="45" fillId="0" borderId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5" fillId="0" borderId="0"/>
    <xf numFmtId="0" fontId="5" fillId="0" borderId="0"/>
    <xf numFmtId="0" fontId="15" fillId="0" borderId="0"/>
    <xf numFmtId="0" fontId="3" fillId="0" borderId="0"/>
    <xf numFmtId="0" fontId="45" fillId="0" borderId="0"/>
    <xf numFmtId="0" fontId="45" fillId="0" borderId="0"/>
    <xf numFmtId="0" fontId="18" fillId="0" borderId="0">
      <alignment vertical="top"/>
    </xf>
    <xf numFmtId="0" fontId="18" fillId="0" borderId="0">
      <alignment vertical="top"/>
    </xf>
    <xf numFmtId="0" fontId="15" fillId="0" borderId="0"/>
    <xf numFmtId="0" fontId="3" fillId="0" borderId="0"/>
    <xf numFmtId="0" fontId="45" fillId="0" borderId="0"/>
    <xf numFmtId="0" fontId="45" fillId="0" borderId="0"/>
    <xf numFmtId="0" fontId="18" fillId="0" borderId="0">
      <alignment vertical="top"/>
    </xf>
    <xf numFmtId="0" fontId="15" fillId="0" borderId="0"/>
    <xf numFmtId="0" fontId="3" fillId="0" borderId="0"/>
    <xf numFmtId="0" fontId="18" fillId="0" borderId="0">
      <alignment vertical="top"/>
    </xf>
    <xf numFmtId="0" fontId="18" fillId="0" borderId="0">
      <alignment vertical="top"/>
    </xf>
    <xf numFmtId="0" fontId="15" fillId="0" borderId="0"/>
    <xf numFmtId="0" fontId="3" fillId="0" borderId="0"/>
    <xf numFmtId="0" fontId="18" fillId="0" borderId="0">
      <alignment vertical="top"/>
    </xf>
    <xf numFmtId="0" fontId="18" fillId="0" borderId="0">
      <alignment vertical="top"/>
    </xf>
    <xf numFmtId="0" fontId="3" fillId="0" borderId="0"/>
    <xf numFmtId="191" fontId="14" fillId="0" borderId="0"/>
    <xf numFmtId="0" fontId="18" fillId="0" borderId="0">
      <alignment vertical="top"/>
    </xf>
    <xf numFmtId="0" fontId="18" fillId="0" borderId="0">
      <alignment vertical="top"/>
    </xf>
    <xf numFmtId="0" fontId="45" fillId="0" borderId="0"/>
    <xf numFmtId="0" fontId="45" fillId="0" borderId="0"/>
    <xf numFmtId="0" fontId="18" fillId="0" borderId="0">
      <alignment vertical="top"/>
    </xf>
    <xf numFmtId="0" fontId="18" fillId="0" borderId="0">
      <alignment vertical="top"/>
    </xf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191" fontId="10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192" fontId="11" fillId="0" borderId="0" applyNumberFormat="0" applyFill="0" applyBorder="0" applyAlignment="0" applyProtection="0">
      <alignment horizontal="left"/>
    </xf>
    <xf numFmtId="0" fontId="5" fillId="3" borderId="5"/>
    <xf numFmtId="0" fontId="5" fillId="0" borderId="0"/>
    <xf numFmtId="40" fontId="13" fillId="0" borderId="0" applyBorder="0">
      <alignment horizontal="right"/>
    </xf>
  </cellStyleXfs>
  <cellXfs count="403">
    <xf numFmtId="0" fontId="0" fillId="0" borderId="0" xfId="0"/>
    <xf numFmtId="194" fontId="19" fillId="0" borderId="0" xfId="16" applyNumberFormat="1" applyFont="1" applyFill="1" applyBorder="1"/>
    <xf numFmtId="0" fontId="20" fillId="0" borderId="0" xfId="180" applyFont="1" applyFill="1"/>
    <xf numFmtId="0" fontId="20" fillId="0" borderId="0" xfId="180" applyFont="1" applyFill="1" applyBorder="1" applyAlignment="1">
      <alignment horizontal="right"/>
    </xf>
    <xf numFmtId="181" fontId="19" fillId="0" borderId="0" xfId="180" applyNumberFormat="1" applyFont="1" applyFill="1" applyBorder="1" applyAlignment="1">
      <alignment horizontal="right"/>
    </xf>
    <xf numFmtId="180" fontId="20" fillId="0" borderId="0" xfId="0" applyNumberFormat="1" applyFont="1" applyFill="1" applyBorder="1" applyAlignment="1">
      <alignment horizontal="center"/>
    </xf>
    <xf numFmtId="181" fontId="20" fillId="0" borderId="0" xfId="0" applyNumberFormat="1" applyFont="1" applyFill="1" applyBorder="1" applyAlignment="1">
      <alignment horizontal="right"/>
    </xf>
    <xf numFmtId="10" fontId="20" fillId="0" borderId="0" xfId="0" quotePrefix="1" applyNumberFormat="1" applyFont="1" applyFill="1" applyBorder="1" applyAlignment="1">
      <alignment horizontal="right"/>
    </xf>
    <xf numFmtId="0" fontId="20" fillId="0" borderId="0" xfId="0" applyFont="1" applyFill="1" applyBorder="1"/>
    <xf numFmtId="0" fontId="20" fillId="0" borderId="0" xfId="180" applyFont="1" applyFill="1" applyBorder="1"/>
    <xf numFmtId="0" fontId="23" fillId="0" borderId="0" xfId="180" applyFont="1" applyFill="1" applyBorder="1"/>
    <xf numFmtId="0" fontId="23" fillId="0" borderId="0" xfId="180" applyFont="1" applyFill="1"/>
    <xf numFmtId="0" fontId="20" fillId="0" borderId="0" xfId="0" applyFont="1" applyFill="1"/>
    <xf numFmtId="0" fontId="20" fillId="0" borderId="0" xfId="0" applyFont="1" applyFill="1" applyBorder="1" applyAlignment="1" applyProtection="1">
      <alignment horizontal="left"/>
    </xf>
    <xf numFmtId="1" fontId="19" fillId="0" borderId="0" xfId="0" applyNumberFormat="1" applyFont="1" applyFill="1" applyBorder="1" applyAlignment="1"/>
    <xf numFmtId="180" fontId="20" fillId="0" borderId="0" xfId="0" quotePrefix="1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right"/>
    </xf>
    <xf numFmtId="193" fontId="20" fillId="0" borderId="0" xfId="35" applyNumberFormat="1" applyFont="1" applyFill="1" applyBorder="1"/>
    <xf numFmtId="0" fontId="23" fillId="0" borderId="0" xfId="0" applyFont="1" applyFill="1" applyBorder="1"/>
    <xf numFmtId="0" fontId="23" fillId="0" borderId="0" xfId="0" applyFont="1" applyFill="1"/>
    <xf numFmtId="194" fontId="20" fillId="0" borderId="0" xfId="16" applyNumberFormat="1" applyFont="1" applyFill="1"/>
    <xf numFmtId="194" fontId="19" fillId="0" borderId="0" xfId="16" applyNumberFormat="1" applyFont="1" applyFill="1" applyBorder="1" applyAlignment="1"/>
    <xf numFmtId="194" fontId="20" fillId="0" borderId="0" xfId="16" applyNumberFormat="1" applyFont="1" applyFill="1" applyBorder="1" applyAlignment="1">
      <alignment horizontal="right"/>
    </xf>
    <xf numFmtId="194" fontId="20" fillId="0" borderId="0" xfId="16" applyNumberFormat="1" applyFont="1" applyFill="1" applyBorder="1"/>
    <xf numFmtId="194" fontId="20" fillId="0" borderId="0" xfId="16" quotePrefix="1" applyNumberFormat="1" applyFont="1" applyFill="1" applyBorder="1" applyAlignment="1">
      <alignment horizontal="right"/>
    </xf>
    <xf numFmtId="194" fontId="24" fillId="0" borderId="0" xfId="16" applyNumberFormat="1" applyFont="1" applyBorder="1"/>
    <xf numFmtId="197" fontId="20" fillId="0" borderId="0" xfId="0" applyNumberFormat="1" applyFont="1" applyFill="1" applyBorder="1"/>
    <xf numFmtId="0" fontId="24" fillId="0" borderId="0" xfId="0" applyFont="1" applyBorder="1"/>
    <xf numFmtId="180" fontId="19" fillId="0" borderId="0" xfId="0" quotePrefix="1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right"/>
    </xf>
    <xf numFmtId="0" fontId="19" fillId="0" borderId="6" xfId="0" applyFont="1" applyFill="1" applyBorder="1" applyAlignment="1">
      <alignment horizontal="right"/>
    </xf>
    <xf numFmtId="181" fontId="20" fillId="0" borderId="0" xfId="187" applyNumberFormat="1" applyFont="1" applyFill="1" applyBorder="1"/>
    <xf numFmtId="176" fontId="20" fillId="0" borderId="0" xfId="0" applyNumberFormat="1" applyFont="1" applyFill="1" applyBorder="1"/>
    <xf numFmtId="0" fontId="20" fillId="0" borderId="0" xfId="0" applyFont="1" applyFill="1" applyAlignment="1"/>
    <xf numFmtId="0" fontId="27" fillId="0" borderId="0" xfId="0" applyFont="1" applyFill="1" applyAlignment="1">
      <alignment horizontal="left"/>
    </xf>
    <xf numFmtId="0" fontId="22" fillId="0" borderId="0" xfId="0" applyFont="1" applyFill="1" applyAlignment="1">
      <alignment horizontal="left"/>
    </xf>
    <xf numFmtId="0" fontId="20" fillId="0" borderId="0" xfId="0" applyFont="1" applyFill="1" applyAlignment="1">
      <alignment horizontal="left"/>
    </xf>
    <xf numFmtId="0" fontId="19" fillId="0" borderId="0" xfId="0" applyFont="1" applyFill="1" applyAlignment="1">
      <alignment horizontal="left"/>
    </xf>
    <xf numFmtId="0" fontId="20" fillId="0" borderId="0" xfId="0" quotePrefix="1" applyFont="1" applyFill="1" applyAlignment="1">
      <alignment horizontal="centerContinuous"/>
    </xf>
    <xf numFmtId="0" fontId="20" fillId="0" borderId="0" xfId="180" applyFont="1" applyFill="1" applyAlignment="1">
      <alignment horizontal="left"/>
    </xf>
    <xf numFmtId="0" fontId="20" fillId="0" borderId="0" xfId="0" applyFont="1" applyFill="1" applyBorder="1" applyAlignment="1"/>
    <xf numFmtId="0" fontId="19" fillId="0" borderId="0" xfId="0" applyFont="1" applyFill="1" applyBorder="1" applyAlignment="1"/>
    <xf numFmtId="1" fontId="19" fillId="0" borderId="0" xfId="0" applyNumberFormat="1" applyFont="1" applyFill="1" applyBorder="1" applyAlignment="1">
      <alignment horizontal="center"/>
    </xf>
    <xf numFmtId="1" fontId="19" fillId="0" borderId="0" xfId="0" quotePrefix="1" applyNumberFormat="1" applyFont="1" applyFill="1" applyBorder="1" applyAlignment="1">
      <alignment horizontal="center"/>
    </xf>
    <xf numFmtId="1" fontId="19" fillId="0" borderId="6" xfId="0" applyNumberFormat="1" applyFont="1" applyFill="1" applyBorder="1" applyAlignment="1">
      <alignment horizontal="centerContinuous"/>
    </xf>
    <xf numFmtId="1" fontId="19" fillId="0" borderId="0" xfId="0" applyNumberFormat="1" applyFont="1" applyFill="1" applyBorder="1" applyAlignment="1">
      <alignment horizontal="centerContinuous"/>
    </xf>
    <xf numFmtId="0" fontId="19" fillId="0" borderId="0" xfId="180" applyFont="1" applyFill="1" applyAlignment="1">
      <alignment horizontal="left"/>
    </xf>
    <xf numFmtId="0" fontId="20" fillId="0" borderId="0" xfId="180" applyFont="1" applyFill="1" applyAlignment="1">
      <alignment horizontal="right"/>
    </xf>
    <xf numFmtId="176" fontId="19" fillId="0" borderId="0" xfId="16" applyNumberFormat="1" applyFont="1" applyFill="1" applyBorder="1" applyAlignment="1"/>
    <xf numFmtId="194" fontId="20" fillId="0" borderId="0" xfId="16" applyNumberFormat="1" applyFont="1" applyFill="1" applyBorder="1" applyAlignment="1"/>
    <xf numFmtId="176" fontId="20" fillId="0" borderId="0" xfId="0" applyNumberFormat="1" applyFont="1" applyFill="1" applyBorder="1" applyAlignment="1"/>
    <xf numFmtId="194" fontId="20" fillId="0" borderId="7" xfId="16" applyNumberFormat="1" applyFont="1" applyFill="1" applyBorder="1" applyAlignment="1"/>
    <xf numFmtId="193" fontId="20" fillId="0" borderId="0" xfId="35" applyNumberFormat="1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Alignment="1"/>
    <xf numFmtId="0" fontId="19" fillId="0" borderId="0" xfId="0" applyFont="1" applyFill="1" applyBorder="1" applyAlignment="1">
      <alignment horizontal="left"/>
    </xf>
    <xf numFmtId="0" fontId="20" fillId="0" borderId="0" xfId="0" applyFont="1" applyBorder="1" applyAlignment="1"/>
    <xf numFmtId="195" fontId="20" fillId="0" borderId="0" xfId="16" applyNumberFormat="1" applyFont="1" applyFill="1" applyBorder="1" applyAlignment="1"/>
    <xf numFmtId="176" fontId="20" fillId="0" borderId="0" xfId="35" applyNumberFormat="1" applyFont="1" applyFill="1" applyBorder="1" applyAlignment="1"/>
    <xf numFmtId="199" fontId="20" fillId="0" borderId="0" xfId="0" quotePrefix="1" applyNumberFormat="1" applyFont="1" applyFill="1" applyBorder="1" applyAlignment="1">
      <alignment horizontal="right"/>
    </xf>
    <xf numFmtId="182" fontId="20" fillId="0" borderId="0" xfId="35" applyNumberFormat="1" applyFont="1" applyFill="1" applyBorder="1" applyAlignment="1"/>
    <xf numFmtId="9" fontId="20" fillId="0" borderId="0" xfId="187" applyFont="1" applyFill="1" applyBorder="1" applyAlignment="1"/>
    <xf numFmtId="0" fontId="19" fillId="0" borderId="0" xfId="0" applyFont="1" applyFill="1" applyBorder="1"/>
    <xf numFmtId="177" fontId="20" fillId="0" borderId="0" xfId="0" applyNumberFormat="1" applyFont="1" applyFill="1" applyBorder="1"/>
    <xf numFmtId="0" fontId="20" fillId="0" borderId="6" xfId="0" applyFont="1" applyFill="1" applyBorder="1"/>
    <xf numFmtId="194" fontId="20" fillId="0" borderId="7" xfId="16" applyNumberFormat="1" applyFont="1" applyFill="1" applyBorder="1"/>
    <xf numFmtId="195" fontId="20" fillId="0" borderId="0" xfId="16" applyNumberFormat="1" applyFont="1" applyFill="1" applyBorder="1"/>
    <xf numFmtId="194" fontId="20" fillId="0" borderId="0" xfId="0" applyNumberFormat="1" applyFont="1" applyFill="1" applyBorder="1"/>
    <xf numFmtId="0" fontId="19" fillId="0" borderId="2" xfId="0" applyFont="1" applyFill="1" applyBorder="1"/>
    <xf numFmtId="9" fontId="20" fillId="0" borderId="0" xfId="187" applyNumberFormat="1" applyFont="1" applyFill="1" applyBorder="1"/>
    <xf numFmtId="0" fontId="20" fillId="0" borderId="0" xfId="180" applyFont="1" applyFill="1" applyBorder="1" applyAlignment="1">
      <alignment horizontal="left"/>
    </xf>
    <xf numFmtId="10" fontId="20" fillId="0" borderId="0" xfId="187" applyNumberFormat="1" applyFont="1" applyFill="1" applyBorder="1"/>
    <xf numFmtId="9" fontId="20" fillId="0" borderId="0" xfId="187" applyFont="1" applyFill="1" applyBorder="1"/>
    <xf numFmtId="176" fontId="19" fillId="0" borderId="0" xfId="0" applyNumberFormat="1" applyFont="1" applyFill="1" applyBorder="1"/>
    <xf numFmtId="0" fontId="19" fillId="0" borderId="0" xfId="180" applyFont="1" applyFill="1" applyBorder="1" applyAlignment="1">
      <alignment horizontal="right"/>
    </xf>
    <xf numFmtId="1" fontId="19" fillId="0" borderId="0" xfId="0" applyNumberFormat="1" applyFont="1" applyFill="1" applyBorder="1"/>
    <xf numFmtId="9" fontId="19" fillId="0" borderId="0" xfId="187" applyFont="1" applyFill="1" applyBorder="1"/>
    <xf numFmtId="9" fontId="19" fillId="0" borderId="0" xfId="187" applyFont="1" applyFill="1" applyBorder="1" applyAlignment="1"/>
    <xf numFmtId="181" fontId="19" fillId="0" borderId="0" xfId="187" applyNumberFormat="1" applyFont="1" applyFill="1" applyBorder="1"/>
    <xf numFmtId="0" fontId="22" fillId="0" borderId="0" xfId="0" applyFont="1" applyFill="1" applyBorder="1"/>
    <xf numFmtId="178" fontId="19" fillId="0" borderId="0" xfId="35" applyFont="1" applyFill="1" applyBorder="1"/>
    <xf numFmtId="184" fontId="20" fillId="0" borderId="0" xfId="0" applyNumberFormat="1" applyFont="1" applyFill="1" applyBorder="1"/>
    <xf numFmtId="0" fontId="23" fillId="0" borderId="0" xfId="0" applyFont="1" applyFill="1" applyAlignment="1"/>
    <xf numFmtId="0" fontId="23" fillId="0" borderId="0" xfId="0" applyFont="1" applyFill="1" applyAlignment="1">
      <alignment horizontal="left"/>
    </xf>
    <xf numFmtId="0" fontId="23" fillId="0" borderId="0" xfId="0" applyFont="1" applyFill="1" applyAlignment="1">
      <alignment horizontal="centerContinuous"/>
    </xf>
    <xf numFmtId="0" fontId="20" fillId="0" borderId="0" xfId="0" applyFont="1" applyFill="1" applyAlignment="1" applyProtection="1">
      <alignment horizontal="centerContinuous"/>
    </xf>
    <xf numFmtId="0" fontId="20" fillId="0" borderId="0" xfId="0" applyFont="1" applyFill="1" applyAlignment="1">
      <alignment horizontal="centerContinuous"/>
    </xf>
    <xf numFmtId="0" fontId="20" fillId="0" borderId="0" xfId="0" applyFont="1" applyFill="1" applyBorder="1" applyAlignment="1">
      <alignment horizontal="centerContinuous"/>
    </xf>
    <xf numFmtId="0" fontId="20" fillId="0" borderId="0" xfId="0" applyFont="1"/>
    <xf numFmtId="0" fontId="21" fillId="0" borderId="0" xfId="0" applyFont="1" applyFill="1"/>
    <xf numFmtId="0" fontId="19" fillId="0" borderId="0" xfId="0" applyFont="1" applyFill="1" applyAlignment="1" applyProtection="1">
      <alignment horizontal="left"/>
    </xf>
    <xf numFmtId="177" fontId="20" fillId="0" borderId="0" xfId="35" quotePrefix="1" applyNumberFormat="1" applyFont="1" applyFill="1" applyBorder="1" applyAlignment="1">
      <alignment horizontal="right"/>
    </xf>
    <xf numFmtId="9" fontId="19" fillId="0" borderId="0" xfId="187" applyFont="1" applyFill="1"/>
    <xf numFmtId="0" fontId="19" fillId="0" borderId="0" xfId="180" applyFont="1" applyFill="1"/>
    <xf numFmtId="0" fontId="19" fillId="0" borderId="0" xfId="0" applyFont="1" applyFill="1"/>
    <xf numFmtId="177" fontId="19" fillId="0" borderId="0" xfId="0" applyNumberFormat="1" applyFont="1" applyFill="1" applyBorder="1"/>
    <xf numFmtId="0" fontId="22" fillId="0" borderId="0" xfId="0" applyFont="1" applyFill="1"/>
    <xf numFmtId="0" fontId="22" fillId="0" borderId="0" xfId="180" applyFont="1" applyFill="1"/>
    <xf numFmtId="0" fontId="20" fillId="0" borderId="0" xfId="0" applyFont="1" applyFill="1" applyAlignment="1" applyProtection="1">
      <alignment horizontal="left"/>
    </xf>
    <xf numFmtId="193" fontId="20" fillId="0" borderId="0" xfId="35" applyNumberFormat="1" applyFont="1" applyFill="1" applyBorder="1" applyProtection="1"/>
    <xf numFmtId="0" fontId="20" fillId="0" borderId="0" xfId="0" applyFont="1" applyFill="1" applyBorder="1" applyProtection="1"/>
    <xf numFmtId="194" fontId="20" fillId="0" borderId="0" xfId="16" applyNumberFormat="1" applyFont="1" applyFill="1" applyBorder="1" applyProtection="1"/>
    <xf numFmtId="193" fontId="20" fillId="0" borderId="0" xfId="0" applyNumberFormat="1" applyFont="1" applyFill="1"/>
    <xf numFmtId="193" fontId="19" fillId="0" borderId="8" xfId="35" applyNumberFormat="1" applyFont="1" applyFill="1" applyBorder="1"/>
    <xf numFmtId="0" fontId="20" fillId="0" borderId="0" xfId="179" applyFont="1" applyFill="1" applyAlignment="1"/>
    <xf numFmtId="0" fontId="24" fillId="0" borderId="0" xfId="0" applyFont="1"/>
    <xf numFmtId="0" fontId="20" fillId="0" borderId="0" xfId="0" quotePrefix="1" applyFont="1" applyFill="1" applyAlignment="1" applyProtection="1">
      <alignment horizontal="left"/>
    </xf>
    <xf numFmtId="193" fontId="20" fillId="0" borderId="0" xfId="35" applyNumberFormat="1" applyFont="1" applyFill="1" applyBorder="1" applyAlignment="1" applyProtection="1">
      <alignment horizontal="right"/>
    </xf>
    <xf numFmtId="193" fontId="19" fillId="0" borderId="0" xfId="35" applyNumberFormat="1" applyFont="1" applyFill="1" applyBorder="1"/>
    <xf numFmtId="193" fontId="20" fillId="0" borderId="0" xfId="35" applyNumberFormat="1" applyFont="1" applyFill="1"/>
    <xf numFmtId="194" fontId="20" fillId="0" borderId="0" xfId="16" applyNumberFormat="1" applyFont="1" applyFill="1" applyBorder="1" applyAlignment="1" applyProtection="1">
      <alignment horizontal="right"/>
    </xf>
    <xf numFmtId="1" fontId="20" fillId="0" borderId="0" xfId="0" applyNumberFormat="1" applyFont="1" applyFill="1" applyAlignment="1" applyProtection="1"/>
    <xf numFmtId="178" fontId="20" fillId="0" borderId="0" xfId="35" applyFont="1" applyFill="1" applyBorder="1"/>
    <xf numFmtId="10" fontId="19" fillId="0" borderId="0" xfId="0" applyNumberFormat="1" applyFont="1" applyFill="1" applyBorder="1" applyAlignment="1"/>
    <xf numFmtId="0" fontId="20" fillId="0" borderId="0" xfId="0" applyFont="1" applyBorder="1"/>
    <xf numFmtId="193" fontId="20" fillId="0" borderId="0" xfId="0" applyNumberFormat="1" applyFont="1" applyFill="1" applyBorder="1" applyAlignment="1">
      <alignment horizontal="right"/>
    </xf>
    <xf numFmtId="0" fontId="20" fillId="0" borderId="6" xfId="0" applyFont="1" applyFill="1" applyBorder="1" applyAlignment="1">
      <alignment horizontal="right"/>
    </xf>
    <xf numFmtId="185" fontId="20" fillId="0" borderId="0" xfId="0" applyNumberFormat="1" applyFont="1" applyFill="1" applyBorder="1" applyAlignment="1">
      <alignment horizontal="right"/>
    </xf>
    <xf numFmtId="185" fontId="19" fillId="0" borderId="0" xfId="180" applyNumberFormat="1" applyFont="1" applyFill="1" applyBorder="1" applyAlignment="1">
      <alignment horizontal="right"/>
    </xf>
    <xf numFmtId="10" fontId="20" fillId="0" borderId="0" xfId="0" applyNumberFormat="1" applyFont="1" applyFill="1" applyBorder="1" applyAlignment="1"/>
    <xf numFmtId="10" fontId="20" fillId="0" borderId="0" xfId="0" applyNumberFormat="1" applyFont="1" applyFill="1" applyBorder="1" applyProtection="1"/>
    <xf numFmtId="195" fontId="20" fillId="0" borderId="0" xfId="16" quotePrefix="1" applyNumberFormat="1" applyFont="1" applyFill="1" applyBorder="1" applyAlignment="1">
      <alignment horizontal="right"/>
    </xf>
    <xf numFmtId="195" fontId="20" fillId="0" borderId="0" xfId="16" applyNumberFormat="1" applyFont="1" applyFill="1" applyBorder="1" applyAlignment="1" applyProtection="1">
      <alignment horizontal="right"/>
    </xf>
    <xf numFmtId="0" fontId="32" fillId="0" borderId="0" xfId="0" applyFont="1" applyFill="1" applyAlignment="1">
      <alignment horizontal="left"/>
    </xf>
    <xf numFmtId="0" fontId="19" fillId="0" borderId="0" xfId="0" applyFont="1" applyFill="1" applyBorder="1" applyAlignment="1">
      <alignment horizontal="centerContinuous"/>
    </xf>
    <xf numFmtId="182" fontId="20" fillId="0" borderId="0" xfId="35" applyNumberFormat="1" applyFont="1" applyFill="1" applyBorder="1"/>
    <xf numFmtId="182" fontId="19" fillId="0" borderId="0" xfId="35" applyNumberFormat="1" applyFont="1" applyFill="1" applyBorder="1"/>
    <xf numFmtId="0" fontId="19" fillId="0" borderId="0" xfId="0" applyFont="1" applyFill="1" applyBorder="1" applyAlignment="1" applyProtection="1">
      <alignment horizontal="left"/>
    </xf>
    <xf numFmtId="182" fontId="20" fillId="0" borderId="0" xfId="35" applyNumberFormat="1" applyFont="1" applyFill="1" applyBorder="1" applyProtection="1"/>
    <xf numFmtId="0" fontId="19" fillId="0" borderId="9" xfId="0" applyFont="1" applyFill="1" applyBorder="1" applyAlignment="1" applyProtection="1">
      <alignment horizontal="left"/>
    </xf>
    <xf numFmtId="0" fontId="20" fillId="0" borderId="9" xfId="0" applyFont="1" applyFill="1" applyBorder="1" applyAlignment="1" applyProtection="1">
      <alignment horizontal="left"/>
    </xf>
    <xf numFmtId="0" fontId="20" fillId="0" borderId="9" xfId="0" applyFont="1" applyFill="1" applyBorder="1"/>
    <xf numFmtId="182" fontId="20" fillId="0" borderId="9" xfId="35" applyNumberFormat="1" applyFont="1" applyFill="1" applyBorder="1"/>
    <xf numFmtId="177" fontId="20" fillId="0" borderId="9" xfId="0" applyNumberFormat="1" applyFont="1" applyFill="1" applyBorder="1" applyProtection="1"/>
    <xf numFmtId="0" fontId="20" fillId="0" borderId="0" xfId="0" quotePrefix="1" applyFont="1" applyFill="1" applyBorder="1" applyAlignment="1" applyProtection="1">
      <alignment horizontal="left"/>
    </xf>
    <xf numFmtId="0" fontId="27" fillId="0" borderId="0" xfId="180" applyFont="1" applyFill="1" applyAlignment="1"/>
    <xf numFmtId="0" fontId="23" fillId="0" borderId="0" xfId="180" applyFont="1" applyFill="1" applyAlignment="1"/>
    <xf numFmtId="195" fontId="20" fillId="0" borderId="0" xfId="16" applyNumberFormat="1" applyFont="1" applyFill="1" applyBorder="1" applyAlignment="1">
      <alignment horizontal="right"/>
    </xf>
    <xf numFmtId="193" fontId="19" fillId="0" borderId="0" xfId="35" applyNumberFormat="1" applyFont="1" applyFill="1" applyBorder="1" applyAlignment="1">
      <alignment horizontal="right"/>
    </xf>
    <xf numFmtId="0" fontId="20" fillId="0" borderId="0" xfId="180" applyFont="1" applyFill="1" applyAlignment="1"/>
    <xf numFmtId="15" fontId="19" fillId="0" borderId="0" xfId="0" quotePrefix="1" applyNumberFormat="1" applyFont="1" applyFill="1" applyBorder="1" applyAlignment="1">
      <alignment horizontal="center"/>
    </xf>
    <xf numFmtId="1" fontId="19" fillId="0" borderId="0" xfId="180" applyNumberFormat="1" applyFont="1" applyFill="1" applyBorder="1" applyAlignment="1"/>
    <xf numFmtId="193" fontId="20" fillId="0" borderId="0" xfId="180" applyNumberFormat="1" applyFont="1" applyFill="1" applyAlignment="1"/>
    <xf numFmtId="193" fontId="24" fillId="0" borderId="0" xfId="0" applyNumberFormat="1" applyFont="1" applyFill="1"/>
    <xf numFmtId="182" fontId="20" fillId="0" borderId="0" xfId="180" applyNumberFormat="1" applyFont="1" applyFill="1"/>
    <xf numFmtId="194" fontId="20" fillId="0" borderId="0" xfId="16" applyNumberFormat="1" applyFont="1" applyFill="1" applyAlignment="1"/>
    <xf numFmtId="180" fontId="20" fillId="0" borderId="0" xfId="0" quotePrefix="1" applyNumberFormat="1" applyFont="1" applyFill="1" applyBorder="1" applyAlignment="1">
      <alignment horizontal="right"/>
    </xf>
    <xf numFmtId="0" fontId="33" fillId="0" borderId="0" xfId="0" applyFont="1" applyBorder="1" applyAlignment="1">
      <alignment horizontal="left"/>
    </xf>
    <xf numFmtId="0" fontId="23" fillId="0" borderId="0" xfId="180" applyFont="1" applyFill="1" applyBorder="1" applyAlignment="1"/>
    <xf numFmtId="0" fontId="23" fillId="0" borderId="0" xfId="180" applyFont="1" applyFill="1" applyAlignment="1">
      <alignment horizontal="centerContinuous"/>
    </xf>
    <xf numFmtId="0" fontId="23" fillId="0" borderId="0" xfId="180" applyFont="1" applyFill="1" applyBorder="1" applyAlignment="1">
      <alignment horizontal="centerContinuous"/>
    </xf>
    <xf numFmtId="0" fontId="23" fillId="0" borderId="0" xfId="0" applyFont="1" applyFill="1" applyBorder="1" applyAlignment="1">
      <alignment horizontal="centerContinuous"/>
    </xf>
    <xf numFmtId="0" fontId="23" fillId="0" borderId="0" xfId="0" quotePrefix="1" applyFont="1" applyBorder="1" applyAlignment="1"/>
    <xf numFmtId="0" fontId="20" fillId="0" borderId="0" xfId="180" applyFont="1" applyFill="1" applyBorder="1" applyAlignment="1">
      <alignment horizontal="centerContinuous"/>
    </xf>
    <xf numFmtId="1" fontId="20" fillId="0" borderId="0" xfId="180" applyNumberFormat="1" applyFont="1" applyFill="1" applyBorder="1" applyAlignment="1"/>
    <xf numFmtId="176" fontId="20" fillId="0" borderId="0" xfId="35" applyNumberFormat="1" applyFont="1" applyFill="1" applyBorder="1"/>
    <xf numFmtId="177" fontId="20" fillId="0" borderId="0" xfId="35" applyNumberFormat="1" applyFont="1" applyFill="1" applyBorder="1"/>
    <xf numFmtId="0" fontId="20" fillId="0" borderId="0" xfId="0" applyFont="1" applyAlignment="1"/>
    <xf numFmtId="182" fontId="20" fillId="0" borderId="0" xfId="180" applyNumberFormat="1" applyFont="1" applyFill="1" applyBorder="1"/>
    <xf numFmtId="0" fontId="19" fillId="4" borderId="0" xfId="0" applyFont="1" applyFill="1"/>
    <xf numFmtId="0" fontId="20" fillId="0" borderId="0" xfId="0" quotePrefix="1" applyFont="1" applyFill="1"/>
    <xf numFmtId="176" fontId="19" fillId="0" borderId="0" xfId="16" applyNumberFormat="1" applyFont="1" applyFill="1" applyBorder="1"/>
    <xf numFmtId="194" fontId="19" fillId="0" borderId="0" xfId="16" quotePrefix="1" applyNumberFormat="1" applyFont="1" applyFill="1" applyBorder="1" applyAlignment="1">
      <alignment horizontal="center"/>
    </xf>
    <xf numFmtId="193" fontId="20" fillId="0" borderId="8" xfId="35" applyNumberFormat="1" applyFont="1" applyFill="1" applyBorder="1"/>
    <xf numFmtId="194" fontId="19" fillId="0" borderId="0" xfId="16" applyNumberFormat="1" applyFont="1" applyFill="1" applyBorder="1" applyAlignment="1">
      <alignment horizontal="right"/>
    </xf>
    <xf numFmtId="194" fontId="20" fillId="0" borderId="0" xfId="0" applyNumberFormat="1" applyFont="1" applyFill="1" applyAlignment="1"/>
    <xf numFmtId="195" fontId="24" fillId="0" borderId="0" xfId="16" applyNumberFormat="1" applyFont="1"/>
    <xf numFmtId="184" fontId="20" fillId="0" borderId="0" xfId="35" applyNumberFormat="1" applyFont="1" applyFill="1" applyBorder="1"/>
    <xf numFmtId="194" fontId="20" fillId="0" borderId="3" xfId="16" applyNumberFormat="1" applyFont="1" applyFill="1" applyBorder="1"/>
    <xf numFmtId="182" fontId="19" fillId="0" borderId="0" xfId="35" applyNumberFormat="1" applyFont="1" applyFill="1" applyBorder="1" applyAlignment="1"/>
    <xf numFmtId="194" fontId="20" fillId="0" borderId="7" xfId="16" applyNumberFormat="1" applyFont="1" applyFill="1" applyBorder="1" applyProtection="1"/>
    <xf numFmtId="0" fontId="19" fillId="0" borderId="0" xfId="182" applyFont="1" applyBorder="1"/>
    <xf numFmtId="0" fontId="20" fillId="0" borderId="0" xfId="182" applyFont="1" applyBorder="1"/>
    <xf numFmtId="0" fontId="20" fillId="0" borderId="0" xfId="182" applyFont="1" applyBorder="1" applyAlignment="1">
      <alignment horizontal="left"/>
    </xf>
    <xf numFmtId="0" fontId="20" fillId="0" borderId="0" xfId="182" applyFont="1" applyBorder="1" applyAlignment="1"/>
    <xf numFmtId="191" fontId="20" fillId="0" borderId="0" xfId="184" applyFont="1" applyFill="1" applyBorder="1" applyAlignment="1">
      <alignment horizontal="left"/>
    </xf>
    <xf numFmtId="194" fontId="20" fillId="0" borderId="3" xfId="16" applyNumberFormat="1" applyFont="1" applyFill="1" applyBorder="1" applyAlignment="1"/>
    <xf numFmtId="193" fontId="19" fillId="0" borderId="3" xfId="35" applyNumberFormat="1" applyFont="1" applyFill="1" applyBorder="1"/>
    <xf numFmtId="191" fontId="19" fillId="0" borderId="0" xfId="184" applyFont="1" applyFill="1" applyBorder="1" applyAlignment="1"/>
    <xf numFmtId="176" fontId="20" fillId="0" borderId="7" xfId="16" applyNumberFormat="1" applyFont="1" applyFill="1" applyBorder="1"/>
    <xf numFmtId="176" fontId="19" fillId="0" borderId="3" xfId="35" applyNumberFormat="1" applyFont="1" applyFill="1" applyBorder="1"/>
    <xf numFmtId="193" fontId="19" fillId="0" borderId="7" xfId="35" applyNumberFormat="1" applyFont="1" applyFill="1" applyBorder="1"/>
    <xf numFmtId="194" fontId="19" fillId="0" borderId="3" xfId="180" applyNumberFormat="1" applyFont="1" applyFill="1" applyBorder="1"/>
    <xf numFmtId="194" fontId="19" fillId="0" borderId="0" xfId="180" applyNumberFormat="1" applyFont="1" applyFill="1" applyBorder="1"/>
    <xf numFmtId="189" fontId="20" fillId="0" borderId="0" xfId="35" applyNumberFormat="1" applyFont="1" applyFill="1" applyBorder="1"/>
    <xf numFmtId="0" fontId="20" fillId="0" borderId="0" xfId="181" quotePrefix="1" applyFont="1" applyFill="1"/>
    <xf numFmtId="0" fontId="20" fillId="0" borderId="0" xfId="181" applyFont="1" applyFill="1"/>
    <xf numFmtId="177" fontId="20" fillId="0" borderId="10" xfId="0" applyNumberFormat="1" applyFont="1" applyFill="1" applyBorder="1" applyProtection="1"/>
    <xf numFmtId="194" fontId="23" fillId="0" borderId="0" xfId="0" applyNumberFormat="1" applyFont="1" applyFill="1" applyAlignment="1"/>
    <xf numFmtId="0" fontId="20" fillId="0" borderId="0" xfId="0" quotePrefix="1" applyFont="1" applyFill="1" applyAlignment="1">
      <alignment wrapText="1"/>
    </xf>
    <xf numFmtId="0" fontId="20" fillId="0" borderId="11" xfId="0" applyFont="1" applyFill="1" applyBorder="1"/>
    <xf numFmtId="9" fontId="22" fillId="0" borderId="0" xfId="187" applyFont="1" applyFill="1"/>
    <xf numFmtId="176" fontId="19" fillId="0" borderId="2" xfId="16" applyNumberFormat="1" applyFont="1" applyFill="1" applyBorder="1"/>
    <xf numFmtId="176" fontId="20" fillId="0" borderId="0" xfId="16" applyNumberFormat="1" applyFont="1" applyFill="1" applyBorder="1" applyProtection="1"/>
    <xf numFmtId="177" fontId="20" fillId="0" borderId="0" xfId="16" applyNumberFormat="1" applyFont="1" applyFill="1" applyBorder="1" applyProtection="1"/>
    <xf numFmtId="194" fontId="20" fillId="0" borderId="7" xfId="16" quotePrefix="1" applyNumberFormat="1" applyFont="1" applyFill="1" applyBorder="1" applyAlignment="1">
      <alignment horizontal="right"/>
    </xf>
    <xf numFmtId="177" fontId="20" fillId="0" borderId="12" xfId="35" applyNumberFormat="1" applyFont="1" applyFill="1" applyBorder="1"/>
    <xf numFmtId="184" fontId="19" fillId="0" borderId="0" xfId="180" quotePrefix="1" applyNumberFormat="1" applyFont="1" applyFill="1" applyBorder="1" applyAlignment="1">
      <alignment horizontal="right"/>
    </xf>
    <xf numFmtId="184" fontId="20" fillId="0" borderId="0" xfId="180" quotePrefix="1" applyNumberFormat="1" applyFont="1" applyFill="1" applyBorder="1" applyAlignment="1">
      <alignment horizontal="right"/>
    </xf>
    <xf numFmtId="184" fontId="20" fillId="0" borderId="7" xfId="180" quotePrefix="1" applyNumberFormat="1" applyFont="1" applyFill="1" applyBorder="1" applyAlignment="1">
      <alignment horizontal="right"/>
    </xf>
    <xf numFmtId="184" fontId="20" fillId="0" borderId="3" xfId="180" quotePrefix="1" applyNumberFormat="1" applyFont="1" applyFill="1" applyBorder="1" applyAlignment="1">
      <alignment horizontal="right"/>
    </xf>
    <xf numFmtId="184" fontId="20" fillId="0" borderId="13" xfId="180" quotePrefix="1" applyNumberFormat="1" applyFont="1" applyFill="1" applyBorder="1" applyAlignment="1">
      <alignment horizontal="right"/>
    </xf>
    <xf numFmtId="184" fontId="20" fillId="0" borderId="7" xfId="180" quotePrefix="1" applyNumberFormat="1" applyFont="1" applyFill="1" applyBorder="1" applyAlignment="1">
      <alignment horizontal="left"/>
    </xf>
    <xf numFmtId="185" fontId="19" fillId="0" borderId="8" xfId="180" quotePrefix="1" applyNumberFormat="1" applyFont="1" applyFill="1" applyBorder="1" applyAlignment="1">
      <alignment horizontal="right"/>
    </xf>
    <xf numFmtId="185" fontId="20" fillId="0" borderId="0" xfId="180" quotePrefix="1" applyNumberFormat="1" applyFont="1" applyFill="1" applyBorder="1" applyAlignment="1">
      <alignment horizontal="right"/>
    </xf>
    <xf numFmtId="186" fontId="20" fillId="0" borderId="0" xfId="180" applyNumberFormat="1" applyFont="1" applyFill="1" applyBorder="1" applyProtection="1"/>
    <xf numFmtId="176" fontId="20" fillId="0" borderId="0" xfId="35" applyNumberFormat="1" applyFont="1" applyFill="1" applyBorder="1" applyAlignment="1" applyProtection="1">
      <alignment horizontal="right"/>
    </xf>
    <xf numFmtId="194" fontId="20" fillId="0" borderId="7" xfId="16" applyNumberFormat="1" applyFont="1" applyFill="1" applyBorder="1" applyAlignment="1" applyProtection="1">
      <alignment horizontal="right"/>
    </xf>
    <xf numFmtId="184" fontId="20" fillId="0" borderId="7" xfId="0" quotePrefix="1" applyNumberFormat="1" applyFont="1" applyFill="1" applyBorder="1" applyAlignment="1">
      <alignment horizontal="right"/>
    </xf>
    <xf numFmtId="193" fontId="20" fillId="0" borderId="0" xfId="35" quotePrefix="1" applyNumberFormat="1" applyFont="1" applyFill="1" applyBorder="1" applyAlignment="1">
      <alignment horizontal="right"/>
    </xf>
    <xf numFmtId="9" fontId="19" fillId="0" borderId="0" xfId="187" applyFont="1" applyFill="1" applyAlignment="1"/>
    <xf numFmtId="0" fontId="20" fillId="0" borderId="0" xfId="180" applyFont="1" applyFill="1" applyAlignment="1">
      <alignment horizontal="centerContinuous"/>
    </xf>
    <xf numFmtId="4" fontId="20" fillId="0" borderId="0" xfId="180" applyNumberFormat="1" applyFont="1" applyFill="1" applyBorder="1" applyProtection="1"/>
    <xf numFmtId="195" fontId="20" fillId="0" borderId="0" xfId="16" applyNumberFormat="1" applyFont="1" applyFill="1" applyBorder="1" applyProtection="1"/>
    <xf numFmtId="182" fontId="20" fillId="0" borderId="0" xfId="180" applyNumberFormat="1" applyFont="1" applyFill="1" applyBorder="1" applyProtection="1"/>
    <xf numFmtId="0" fontId="36" fillId="0" borderId="0" xfId="0" applyFont="1"/>
    <xf numFmtId="0" fontId="23" fillId="0" borderId="0" xfId="0" applyNumberFormat="1" applyFont="1" applyFill="1" applyBorder="1"/>
    <xf numFmtId="181" fontId="23" fillId="0" borderId="0" xfId="0" applyNumberFormat="1" applyFont="1" applyFill="1" applyBorder="1" applyAlignment="1"/>
    <xf numFmtId="179" fontId="23" fillId="0" borderId="0" xfId="16" applyFont="1" applyFill="1" applyBorder="1"/>
    <xf numFmtId="179" fontId="23" fillId="0" borderId="0" xfId="16" applyFont="1" applyFill="1" applyBorder="1" applyAlignment="1"/>
    <xf numFmtId="0" fontId="22" fillId="0" borderId="0" xfId="0" applyFont="1" applyFill="1" applyAlignment="1">
      <alignment horizontal="centerContinuous"/>
    </xf>
    <xf numFmtId="1" fontId="19" fillId="0" borderId="0" xfId="0" applyNumberFormat="1" applyFont="1" applyFill="1" applyAlignment="1" applyProtection="1">
      <alignment horizontal="centerContinuous"/>
    </xf>
    <xf numFmtId="1" fontId="19" fillId="0" borderId="0" xfId="0" applyNumberFormat="1" applyFont="1" applyFill="1" applyAlignment="1">
      <alignment horizontal="centerContinuous"/>
    </xf>
    <xf numFmtId="1" fontId="19" fillId="0" borderId="0" xfId="0" applyNumberFormat="1" applyFont="1" applyFill="1" applyAlignment="1" applyProtection="1"/>
    <xf numFmtId="1" fontId="19" fillId="0" borderId="0" xfId="0" applyNumberFormat="1" applyFont="1" applyFill="1" applyAlignment="1"/>
    <xf numFmtId="0" fontId="24" fillId="0" borderId="6" xfId="0" applyFont="1" applyBorder="1"/>
    <xf numFmtId="0" fontId="31" fillId="0" borderId="0" xfId="0" applyFont="1" applyBorder="1"/>
    <xf numFmtId="182" fontId="19" fillId="0" borderId="6" xfId="0" applyNumberFormat="1" applyFont="1" applyFill="1" applyBorder="1"/>
    <xf numFmtId="1" fontId="19" fillId="0" borderId="7" xfId="0" applyNumberFormat="1" applyFont="1" applyFill="1" applyBorder="1" applyAlignment="1"/>
    <xf numFmtId="0" fontId="21" fillId="0" borderId="0" xfId="180" applyFont="1" applyFill="1"/>
    <xf numFmtId="0" fontId="24" fillId="0" borderId="0" xfId="0" applyFont="1" applyFill="1"/>
    <xf numFmtId="182" fontId="20" fillId="0" borderId="0" xfId="35" applyNumberFormat="1" applyFont="1" applyFill="1" applyBorder="1" applyAlignment="1">
      <alignment horizontal="right"/>
    </xf>
    <xf numFmtId="0" fontId="24" fillId="0" borderId="0" xfId="0" applyFont="1" applyFill="1" applyBorder="1"/>
    <xf numFmtId="0" fontId="20" fillId="0" borderId="0" xfId="180" quotePrefix="1" applyFont="1" applyFill="1"/>
    <xf numFmtId="0" fontId="20" fillId="0" borderId="0" xfId="180" applyFont="1" applyFill="1" applyBorder="1" applyAlignment="1">
      <alignment horizontal="center"/>
    </xf>
    <xf numFmtId="180" fontId="19" fillId="0" borderId="2" xfId="0" quotePrefix="1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left"/>
    </xf>
    <xf numFmtId="184" fontId="20" fillId="0" borderId="0" xfId="180" applyNumberFormat="1" applyFont="1" applyFill="1" applyBorder="1" applyAlignment="1">
      <alignment horizontal="centerContinuous"/>
    </xf>
    <xf numFmtId="0" fontId="20" fillId="0" borderId="0" xfId="0" quotePrefix="1" applyFont="1" applyBorder="1" applyAlignment="1"/>
    <xf numFmtId="176" fontId="19" fillId="0" borderId="0" xfId="0" applyNumberFormat="1" applyFont="1" applyFill="1" applyBorder="1" applyAlignment="1">
      <alignment horizontal="right"/>
    </xf>
    <xf numFmtId="193" fontId="20" fillId="0" borderId="6" xfId="0" applyNumberFormat="1" applyFont="1" applyFill="1" applyBorder="1" applyAlignment="1">
      <alignment horizontal="right"/>
    </xf>
    <xf numFmtId="0" fontId="19" fillId="0" borderId="0" xfId="180" applyFont="1" applyFill="1" applyAlignment="1">
      <alignment horizontal="right"/>
    </xf>
    <xf numFmtId="185" fontId="20" fillId="0" borderId="6" xfId="0" applyNumberFormat="1" applyFont="1" applyFill="1" applyBorder="1" applyAlignment="1">
      <alignment horizontal="right"/>
    </xf>
    <xf numFmtId="9" fontId="20" fillId="0" borderId="0" xfId="187" quotePrefix="1" applyFont="1" applyFill="1" applyBorder="1" applyAlignment="1">
      <alignment horizontal="right"/>
    </xf>
    <xf numFmtId="0" fontId="20" fillId="0" borderId="0" xfId="183" applyFont="1" applyFill="1" applyAlignment="1" applyProtection="1">
      <alignment horizontal="left"/>
    </xf>
    <xf numFmtId="0" fontId="20" fillId="0" borderId="0" xfId="183" applyFont="1" applyFill="1"/>
    <xf numFmtId="10" fontId="20" fillId="0" borderId="0" xfId="0" applyNumberFormat="1" applyFont="1" applyFill="1" applyBorder="1"/>
    <xf numFmtId="0" fontId="24" fillId="0" borderId="6" xfId="0" applyFont="1" applyFill="1" applyBorder="1"/>
    <xf numFmtId="10" fontId="20" fillId="0" borderId="0" xfId="35" applyNumberFormat="1" applyFont="1" applyFill="1" applyBorder="1"/>
    <xf numFmtId="0" fontId="37" fillId="0" borderId="0" xfId="0" applyFont="1"/>
    <xf numFmtId="197" fontId="20" fillId="0" borderId="0" xfId="35" applyNumberFormat="1" applyFont="1" applyFill="1" applyBorder="1"/>
    <xf numFmtId="177" fontId="20" fillId="0" borderId="0" xfId="180" applyNumberFormat="1" applyFont="1" applyFill="1" applyAlignment="1"/>
    <xf numFmtId="177" fontId="20" fillId="0" borderId="0" xfId="180" applyNumberFormat="1" applyFont="1" applyFill="1" applyBorder="1" applyProtection="1"/>
    <xf numFmtId="198" fontId="24" fillId="0" borderId="0" xfId="0" applyNumberFormat="1" applyFont="1"/>
    <xf numFmtId="198" fontId="20" fillId="0" borderId="0" xfId="180" applyNumberFormat="1" applyFont="1" applyFill="1" applyBorder="1" applyProtection="1"/>
    <xf numFmtId="10" fontId="20" fillId="0" borderId="0" xfId="0" applyNumberFormat="1" applyFont="1" applyFill="1" applyBorder="1" applyAlignment="1">
      <alignment horizontal="right"/>
    </xf>
    <xf numFmtId="181" fontId="20" fillId="0" borderId="6" xfId="0" applyNumberFormat="1" applyFont="1" applyFill="1" applyBorder="1" applyAlignment="1">
      <alignment horizontal="right"/>
    </xf>
    <xf numFmtId="0" fontId="20" fillId="0" borderId="6" xfId="180" applyFont="1" applyFill="1" applyBorder="1"/>
    <xf numFmtId="193" fontId="20" fillId="0" borderId="0" xfId="35" applyNumberFormat="1" applyFont="1" applyFill="1" applyBorder="1" applyAlignment="1">
      <alignment horizontal="right"/>
    </xf>
    <xf numFmtId="193" fontId="19" fillId="0" borderId="0" xfId="35" quotePrefix="1" applyNumberFormat="1" applyFont="1" applyFill="1" applyBorder="1" applyAlignment="1">
      <alignment horizontal="center"/>
    </xf>
    <xf numFmtId="179" fontId="20" fillId="0" borderId="0" xfId="16" applyFont="1" applyFill="1" applyBorder="1" applyAlignment="1">
      <alignment horizontal="right"/>
    </xf>
    <xf numFmtId="0" fontId="27" fillId="0" borderId="0" xfId="0" applyFont="1" applyFill="1" applyBorder="1" applyAlignment="1">
      <alignment horizontal="left"/>
    </xf>
    <xf numFmtId="0" fontId="23" fillId="0" borderId="0" xfId="0" quotePrefix="1" applyFont="1" applyBorder="1" applyAlignment="1">
      <alignment horizontal="left"/>
    </xf>
    <xf numFmtId="0" fontId="23" fillId="0" borderId="0" xfId="180" applyFont="1" applyFill="1" applyBorder="1" applyAlignment="1">
      <alignment horizontal="center"/>
    </xf>
    <xf numFmtId="0" fontId="20" fillId="0" borderId="0" xfId="0" quotePrefix="1" applyFont="1" applyBorder="1" applyAlignment="1">
      <alignment horizontal="left"/>
    </xf>
    <xf numFmtId="193" fontId="20" fillId="0" borderId="0" xfId="35" applyNumberFormat="1" applyFont="1" applyFill="1" applyBorder="1" applyAlignment="1" applyProtection="1"/>
    <xf numFmtId="181" fontId="20" fillId="0" borderId="0" xfId="187" applyNumberFormat="1" applyFont="1" applyFill="1" applyBorder="1" applyAlignment="1" applyProtection="1"/>
    <xf numFmtId="176" fontId="19" fillId="0" borderId="3" xfId="35" quotePrefix="1" applyNumberFormat="1" applyFont="1" applyFill="1" applyBorder="1" applyAlignment="1">
      <alignment horizontal="right"/>
    </xf>
    <xf numFmtId="176" fontId="19" fillId="0" borderId="0" xfId="187" applyNumberFormat="1" applyFont="1" applyFill="1" applyBorder="1" applyAlignment="1" applyProtection="1"/>
    <xf numFmtId="176" fontId="19" fillId="0" borderId="0" xfId="35" quotePrefix="1" applyNumberFormat="1" applyFont="1" applyFill="1" applyBorder="1" applyAlignment="1">
      <alignment horizontal="right"/>
    </xf>
    <xf numFmtId="1" fontId="19" fillId="0" borderId="11" xfId="0" quotePrefix="1" applyNumberFormat="1" applyFont="1" applyFill="1" applyBorder="1" applyAlignment="1">
      <alignment horizontal="center"/>
    </xf>
    <xf numFmtId="176" fontId="19" fillId="0" borderId="0" xfId="0" applyNumberFormat="1" applyFont="1" applyFill="1"/>
    <xf numFmtId="176" fontId="19" fillId="0" borderId="13" xfId="35" quotePrefix="1" applyNumberFormat="1" applyFont="1" applyFill="1" applyBorder="1" applyAlignment="1">
      <alignment horizontal="right"/>
    </xf>
    <xf numFmtId="2" fontId="19" fillId="0" borderId="0" xfId="0" quotePrefix="1" applyNumberFormat="1" applyFont="1" applyFill="1" applyBorder="1" applyAlignment="1">
      <alignment horizontal="center"/>
    </xf>
    <xf numFmtId="177" fontId="20" fillId="0" borderId="7" xfId="35" quotePrefix="1" applyNumberFormat="1" applyFont="1" applyFill="1" applyBorder="1" applyAlignment="1">
      <alignment horizontal="right"/>
    </xf>
    <xf numFmtId="0" fontId="20" fillId="4" borderId="0" xfId="0" applyFont="1" applyFill="1"/>
    <xf numFmtId="0" fontId="20" fillId="4" borderId="0" xfId="0" applyFont="1" applyFill="1" applyBorder="1" applyAlignment="1">
      <alignment horizontal="right"/>
    </xf>
    <xf numFmtId="194" fontId="20" fillId="4" borderId="7" xfId="16" quotePrefix="1" applyNumberFormat="1" applyFont="1" applyFill="1" applyBorder="1" applyAlignment="1">
      <alignment horizontal="right"/>
    </xf>
    <xf numFmtId="194" fontId="20" fillId="4" borderId="0" xfId="16" applyNumberFormat="1" applyFont="1" applyFill="1" applyBorder="1" applyAlignment="1" applyProtection="1"/>
    <xf numFmtId="176" fontId="20" fillId="4" borderId="0" xfId="35" quotePrefix="1" applyNumberFormat="1" applyFont="1" applyFill="1" applyBorder="1" applyAlignment="1">
      <alignment horizontal="right"/>
    </xf>
    <xf numFmtId="176" fontId="20" fillId="4" borderId="0" xfId="187" applyNumberFormat="1" applyFont="1" applyFill="1" applyBorder="1" applyAlignment="1" applyProtection="1"/>
    <xf numFmtId="176" fontId="20" fillId="0" borderId="0" xfId="35" quotePrefix="1" applyNumberFormat="1" applyFont="1" applyFill="1" applyBorder="1" applyAlignment="1">
      <alignment horizontal="right"/>
    </xf>
    <xf numFmtId="0" fontId="19" fillId="4" borderId="0" xfId="0" applyFont="1" applyFill="1" applyBorder="1" applyAlignment="1"/>
    <xf numFmtId="0" fontId="19" fillId="4" borderId="0" xfId="0" applyFont="1" applyFill="1" applyBorder="1"/>
    <xf numFmtId="176" fontId="19" fillId="4" borderId="14" xfId="35" quotePrefix="1" applyNumberFormat="1" applyFont="1" applyFill="1" applyBorder="1" applyAlignment="1">
      <alignment horizontal="right"/>
    </xf>
    <xf numFmtId="181" fontId="19" fillId="4" borderId="0" xfId="187" applyNumberFormat="1" applyFont="1" applyFill="1" applyBorder="1" applyAlignment="1" applyProtection="1"/>
    <xf numFmtId="0" fontId="19" fillId="4" borderId="0" xfId="0" applyFont="1" applyFill="1" applyBorder="1" applyAlignment="1" applyProtection="1">
      <alignment horizontal="left"/>
    </xf>
    <xf numFmtId="0" fontId="20" fillId="4" borderId="0" xfId="0" applyFont="1" applyFill="1" applyBorder="1" applyAlignment="1"/>
    <xf numFmtId="0" fontId="20" fillId="4" borderId="0" xfId="0" applyFont="1" applyFill="1" applyBorder="1"/>
    <xf numFmtId="181" fontId="20" fillId="4" borderId="0" xfId="187" applyNumberFormat="1" applyFont="1" applyFill="1" applyBorder="1" applyAlignment="1" applyProtection="1"/>
    <xf numFmtId="0" fontId="20" fillId="0" borderId="0" xfId="179" applyFont="1" applyFill="1"/>
    <xf numFmtId="180" fontId="20" fillId="0" borderId="0" xfId="179" applyNumberFormat="1" applyFont="1" applyFill="1" applyBorder="1" applyAlignment="1">
      <alignment horizontal="center"/>
    </xf>
    <xf numFmtId="182" fontId="20" fillId="0" borderId="0" xfId="35" applyNumberFormat="1" applyFont="1" applyFill="1" applyBorder="1" applyAlignment="1" applyProtection="1">
      <alignment horizontal="right"/>
    </xf>
    <xf numFmtId="176" fontId="20" fillId="0" borderId="0" xfId="35" applyNumberFormat="1" applyFont="1" applyFill="1" applyBorder="1" applyAlignment="1">
      <alignment horizontal="right"/>
    </xf>
    <xf numFmtId="194" fontId="23" fillId="0" borderId="0" xfId="0" applyNumberFormat="1" applyFont="1" applyBorder="1" applyAlignment="1">
      <alignment horizontal="left"/>
    </xf>
    <xf numFmtId="176" fontId="20" fillId="0" borderId="0" xfId="186" applyNumberFormat="1" applyFont="1" applyFill="1" applyBorder="1" applyAlignment="1"/>
    <xf numFmtId="177" fontId="20" fillId="0" borderId="0" xfId="186" applyNumberFormat="1" applyFont="1" applyFill="1" applyBorder="1" applyAlignment="1"/>
    <xf numFmtId="0" fontId="20" fillId="0" borderId="0" xfId="185" applyFont="1" applyFill="1" applyAlignment="1" applyProtection="1">
      <alignment horizontal="left"/>
    </xf>
    <xf numFmtId="184" fontId="20" fillId="0" borderId="0" xfId="180" applyNumberFormat="1" applyFont="1" applyFill="1" applyBorder="1" applyAlignment="1">
      <alignment horizontal="right"/>
    </xf>
    <xf numFmtId="0" fontId="39" fillId="0" borderId="0" xfId="0" applyFont="1" applyFill="1" applyAlignment="1">
      <alignment horizontal="left"/>
    </xf>
    <xf numFmtId="0" fontId="19" fillId="0" borderId="15" xfId="0" applyFont="1" applyFill="1" applyBorder="1" applyAlignment="1">
      <alignment horizontal="left"/>
    </xf>
    <xf numFmtId="0" fontId="31" fillId="0" borderId="2" xfId="0" applyFont="1" applyBorder="1"/>
    <xf numFmtId="194" fontId="19" fillId="0" borderId="2" xfId="16" applyNumberFormat="1" applyFont="1" applyFill="1" applyBorder="1" applyAlignment="1"/>
    <xf numFmtId="176" fontId="19" fillId="0" borderId="2" xfId="16" applyNumberFormat="1" applyFont="1" applyFill="1" applyBorder="1" applyAlignment="1"/>
    <xf numFmtId="176" fontId="19" fillId="0" borderId="2" xfId="0" applyNumberFormat="1" applyFont="1" applyFill="1" applyBorder="1"/>
    <xf numFmtId="0" fontId="19" fillId="0" borderId="16" xfId="0" applyFont="1" applyFill="1" applyBorder="1"/>
    <xf numFmtId="0" fontId="31" fillId="0" borderId="2" xfId="0" applyFont="1" applyFill="1" applyBorder="1"/>
    <xf numFmtId="1" fontId="20" fillId="0" borderId="0" xfId="0" applyNumberFormat="1" applyFont="1" applyFill="1" applyAlignment="1"/>
    <xf numFmtId="181" fontId="23" fillId="0" borderId="0" xfId="35" applyNumberFormat="1" applyFont="1" applyFill="1" applyBorder="1" applyAlignment="1">
      <alignment horizontal="center"/>
    </xf>
    <xf numFmtId="181" fontId="23" fillId="0" borderId="6" xfId="35" applyNumberFormat="1" applyFont="1" applyFill="1" applyBorder="1" applyAlignment="1">
      <alignment horizontal="center"/>
    </xf>
    <xf numFmtId="182" fontId="19" fillId="0" borderId="0" xfId="35" quotePrefix="1" applyNumberFormat="1" applyFont="1" applyFill="1" applyBorder="1" applyAlignment="1">
      <alignment horizontal="center"/>
    </xf>
    <xf numFmtId="182" fontId="19" fillId="0" borderId="0" xfId="35" applyNumberFormat="1" applyFont="1" applyFill="1" applyBorder="1" applyAlignment="1">
      <alignment horizontal="centerContinuous"/>
    </xf>
    <xf numFmtId="182" fontId="19" fillId="0" borderId="17" xfId="0" applyNumberFormat="1" applyFont="1" applyFill="1" applyBorder="1"/>
    <xf numFmtId="0" fontId="19" fillId="0" borderId="0" xfId="0" applyFont="1" applyFill="1" applyBorder="1" applyAlignment="1">
      <alignment horizontal="center"/>
    </xf>
    <xf numFmtId="0" fontId="36" fillId="0" borderId="0" xfId="0" applyFont="1" applyFill="1"/>
    <xf numFmtId="0" fontId="22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centerContinuous"/>
    </xf>
    <xf numFmtId="1" fontId="28" fillId="0" borderId="0" xfId="0" applyNumberFormat="1" applyFont="1" applyFill="1" applyAlignment="1">
      <alignment horizontal="left"/>
    </xf>
    <xf numFmtId="1" fontId="19" fillId="0" borderId="18" xfId="0" applyNumberFormat="1" applyFont="1" applyFill="1" applyBorder="1" applyAlignment="1" applyProtection="1"/>
    <xf numFmtId="1" fontId="19" fillId="0" borderId="3" xfId="0" applyNumberFormat="1" applyFont="1" applyFill="1" applyBorder="1" applyAlignment="1" applyProtection="1"/>
    <xf numFmtId="1" fontId="19" fillId="0" borderId="19" xfId="0" applyNumberFormat="1" applyFont="1" applyFill="1" applyBorder="1" applyAlignment="1"/>
    <xf numFmtId="193" fontId="20" fillId="0" borderId="0" xfId="36" applyNumberFormat="1" applyFont="1" applyFill="1" applyBorder="1" applyAlignment="1" applyProtection="1">
      <alignment horizontal="right"/>
    </xf>
    <xf numFmtId="193" fontId="20" fillId="0" borderId="0" xfId="36" applyNumberFormat="1" applyFont="1" applyFill="1" applyBorder="1" applyAlignment="1">
      <alignment horizontal="right"/>
    </xf>
    <xf numFmtId="193" fontId="20" fillId="0" borderId="0" xfId="37" applyNumberFormat="1" applyFont="1" applyFill="1" applyBorder="1" applyAlignment="1" applyProtection="1">
      <alignment horizontal="right"/>
    </xf>
    <xf numFmtId="9" fontId="20" fillId="0" borderId="0" xfId="187" applyFont="1" applyFill="1" applyBorder="1" applyAlignment="1">
      <alignment horizontal="right"/>
    </xf>
    <xf numFmtId="10" fontId="19" fillId="0" borderId="0" xfId="187" applyNumberFormat="1" applyFont="1" applyFill="1" applyBorder="1" applyAlignment="1" applyProtection="1">
      <alignment horizontal="right"/>
    </xf>
    <xf numFmtId="10" fontId="19" fillId="0" borderId="0" xfId="187" applyNumberFormat="1" applyFont="1" applyFill="1" applyBorder="1" applyAlignment="1">
      <alignment horizontal="right"/>
    </xf>
    <xf numFmtId="194" fontId="20" fillId="0" borderId="0" xfId="30" applyNumberFormat="1" applyFont="1" applyFill="1" applyBorder="1" applyAlignment="1" applyProtection="1">
      <alignment horizontal="right"/>
    </xf>
    <xf numFmtId="194" fontId="20" fillId="0" borderId="0" xfId="30" applyNumberFormat="1" applyFont="1" applyFill="1" applyBorder="1" applyAlignment="1">
      <alignment horizontal="right"/>
    </xf>
    <xf numFmtId="9" fontId="19" fillId="0" borderId="0" xfId="187" applyFont="1" applyFill="1" applyBorder="1" applyAlignment="1">
      <alignment horizontal="right"/>
    </xf>
    <xf numFmtId="194" fontId="20" fillId="0" borderId="7" xfId="30" applyNumberFormat="1" applyFont="1" applyFill="1" applyBorder="1" applyAlignment="1" applyProtection="1">
      <alignment horizontal="right"/>
    </xf>
    <xf numFmtId="9" fontId="19" fillId="0" borderId="0" xfId="187" applyFont="1" applyFill="1" applyAlignment="1" applyProtection="1"/>
    <xf numFmtId="193" fontId="19" fillId="0" borderId="20" xfId="187" applyNumberFormat="1" applyFont="1" applyFill="1" applyBorder="1" applyAlignment="1">
      <alignment horizontal="right"/>
    </xf>
    <xf numFmtId="194" fontId="19" fillId="0" borderId="0" xfId="187" applyNumberFormat="1" applyFont="1" applyFill="1" applyBorder="1"/>
    <xf numFmtId="194" fontId="20" fillId="0" borderId="0" xfId="35" applyNumberFormat="1" applyFont="1" applyFill="1" applyBorder="1" applyAlignment="1" applyProtection="1">
      <alignment horizontal="right"/>
    </xf>
    <xf numFmtId="176" fontId="19" fillId="0" borderId="0" xfId="16" applyNumberFormat="1" applyFont="1" applyFill="1" applyBorder="1" applyAlignment="1">
      <alignment horizontal="right"/>
    </xf>
    <xf numFmtId="193" fontId="19" fillId="0" borderId="2" xfId="35" applyNumberFormat="1" applyFont="1" applyFill="1" applyBorder="1" applyAlignment="1">
      <alignment horizontal="right"/>
    </xf>
    <xf numFmtId="9" fontId="19" fillId="0" borderId="2" xfId="187" applyFont="1" applyFill="1" applyBorder="1" applyAlignment="1"/>
    <xf numFmtId="9" fontId="19" fillId="0" borderId="2" xfId="187" applyFont="1" applyFill="1" applyBorder="1"/>
    <xf numFmtId="10" fontId="19" fillId="0" borderId="2" xfId="187" applyNumberFormat="1" applyFont="1" applyFill="1" applyBorder="1" applyAlignment="1" applyProtection="1">
      <alignment horizontal="right"/>
    </xf>
    <xf numFmtId="10" fontId="19" fillId="0" borderId="2" xfId="187" applyNumberFormat="1" applyFont="1" applyFill="1" applyBorder="1" applyAlignment="1">
      <alignment horizontal="right"/>
    </xf>
    <xf numFmtId="0" fontId="31" fillId="0" borderId="0" xfId="0" applyFont="1" applyFill="1" applyBorder="1"/>
    <xf numFmtId="193" fontId="19" fillId="0" borderId="2" xfId="35" applyNumberFormat="1" applyFont="1" applyFill="1" applyBorder="1"/>
    <xf numFmtId="9" fontId="19" fillId="0" borderId="2" xfId="187" applyFont="1" applyFill="1" applyBorder="1" applyAlignment="1" applyProtection="1">
      <alignment horizontal="right"/>
    </xf>
    <xf numFmtId="194" fontId="19" fillId="0" borderId="2" xfId="187" applyNumberFormat="1" applyFont="1" applyFill="1" applyBorder="1" applyAlignment="1" applyProtection="1">
      <alignment horizontal="right"/>
    </xf>
    <xf numFmtId="9" fontId="19" fillId="0" borderId="0" xfId="187" applyFont="1" applyFill="1" applyBorder="1" applyAlignment="1" applyProtection="1">
      <alignment horizontal="right"/>
    </xf>
    <xf numFmtId="194" fontId="19" fillId="0" borderId="0" xfId="187" applyNumberFormat="1" applyFont="1" applyFill="1" applyBorder="1" applyAlignment="1" applyProtection="1">
      <alignment horizontal="right"/>
    </xf>
    <xf numFmtId="1" fontId="20" fillId="0" borderId="0" xfId="106" applyNumberFormat="1" applyFont="1" applyFill="1" applyAlignment="1" applyProtection="1"/>
    <xf numFmtId="0" fontId="35" fillId="0" borderId="0" xfId="0" applyFont="1" applyFill="1" applyBorder="1"/>
    <xf numFmtId="193" fontId="19" fillId="0" borderId="0" xfId="187" applyNumberFormat="1" applyFont="1" applyFill="1" applyBorder="1" applyAlignment="1" applyProtection="1">
      <alignment horizontal="right"/>
    </xf>
    <xf numFmtId="10" fontId="19" fillId="0" borderId="0" xfId="35" applyNumberFormat="1" applyFont="1" applyFill="1" applyBorder="1"/>
    <xf numFmtId="204" fontId="20" fillId="0" borderId="0" xfId="0" applyNumberFormat="1" applyFont="1" applyAlignment="1">
      <alignment horizontal="center"/>
    </xf>
    <xf numFmtId="193" fontId="20" fillId="0" borderId="0" xfId="0" applyNumberFormat="1" applyFont="1" applyFill="1" applyAlignment="1"/>
    <xf numFmtId="0" fontId="19" fillId="0" borderId="7" xfId="0" applyFont="1" applyFill="1" applyBorder="1" applyAlignment="1">
      <alignment horizontal="centerContinuous"/>
    </xf>
    <xf numFmtId="0" fontId="19" fillId="0" borderId="7" xfId="0" quotePrefix="1" applyFont="1" applyFill="1" applyBorder="1" applyAlignment="1">
      <alignment horizontal="centerContinuous"/>
    </xf>
    <xf numFmtId="1" fontId="19" fillId="0" borderId="12" xfId="0" quotePrefix="1" applyNumberFormat="1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wrapText="1"/>
    </xf>
    <xf numFmtId="0" fontId="20" fillId="0" borderId="0" xfId="0" applyFont="1" applyFill="1" applyBorder="1" applyAlignment="1">
      <alignment wrapText="1"/>
    </xf>
    <xf numFmtId="180" fontId="19" fillId="0" borderId="0" xfId="0" quotePrefix="1" applyNumberFormat="1" applyFont="1" applyFill="1" applyBorder="1" applyAlignment="1">
      <alignment horizontal="center" wrapText="1"/>
    </xf>
    <xf numFmtId="194" fontId="20" fillId="0" borderId="0" xfId="16" applyNumberFormat="1" applyFont="1" applyFill="1" applyBorder="1" applyAlignment="1">
      <alignment wrapText="1"/>
    </xf>
    <xf numFmtId="180" fontId="20" fillId="0" borderId="0" xfId="0" quotePrefix="1" applyNumberFormat="1" applyFont="1" applyFill="1" applyBorder="1" applyAlignment="1">
      <alignment horizontal="center" wrapText="1"/>
    </xf>
    <xf numFmtId="194" fontId="20" fillId="0" borderId="0" xfId="16" quotePrefix="1" applyNumberFormat="1" applyFont="1" applyFill="1" applyBorder="1" applyAlignment="1">
      <alignment horizontal="center" wrapText="1"/>
    </xf>
    <xf numFmtId="182" fontId="20" fillId="0" borderId="0" xfId="35" applyNumberFormat="1" applyFont="1" applyFill="1" applyBorder="1" applyAlignment="1">
      <alignment wrapText="1"/>
    </xf>
    <xf numFmtId="182" fontId="20" fillId="0" borderId="9" xfId="35" applyNumberFormat="1" applyFont="1" applyFill="1" applyBorder="1" applyAlignment="1">
      <alignment wrapText="1"/>
    </xf>
    <xf numFmtId="0" fontId="23" fillId="0" borderId="0" xfId="0" applyFont="1" applyFill="1" applyAlignment="1">
      <alignment horizontal="centerContinuous" wrapText="1"/>
    </xf>
    <xf numFmtId="0" fontId="20" fillId="0" borderId="0" xfId="0" applyFont="1" applyFill="1" applyAlignment="1">
      <alignment horizontal="centerContinuous" wrapText="1"/>
    </xf>
    <xf numFmtId="177" fontId="20" fillId="0" borderId="0" xfId="0" applyNumberFormat="1" applyFont="1" applyFill="1" applyAlignment="1">
      <alignment horizontal="center" wrapText="1"/>
    </xf>
    <xf numFmtId="179" fontId="20" fillId="0" borderId="0" xfId="16" applyFont="1" applyFill="1" applyAlignment="1">
      <alignment horizontal="center" wrapText="1"/>
    </xf>
    <xf numFmtId="193" fontId="20" fillId="0" borderId="0" xfId="0" applyNumberFormat="1" applyFont="1" applyFill="1" applyBorder="1" applyAlignment="1" applyProtection="1">
      <alignment wrapText="1"/>
    </xf>
    <xf numFmtId="181" fontId="20" fillId="0" borderId="0" xfId="0" applyNumberFormat="1" applyFont="1" applyFill="1" applyBorder="1" applyAlignment="1">
      <alignment horizontal="center" wrapText="1"/>
    </xf>
    <xf numFmtId="176" fontId="20" fillId="0" borderId="0" xfId="0" applyNumberFormat="1" applyFont="1" applyFill="1" applyBorder="1" applyAlignment="1" applyProtection="1">
      <alignment wrapText="1"/>
    </xf>
    <xf numFmtId="177" fontId="20" fillId="0" borderId="7" xfId="35" applyNumberFormat="1" applyFont="1" applyFill="1" applyBorder="1" applyAlignment="1" applyProtection="1">
      <alignment wrapText="1"/>
    </xf>
    <xf numFmtId="10" fontId="20" fillId="0" borderId="0" xfId="0" applyNumberFormat="1" applyFont="1" applyFill="1" applyBorder="1" applyAlignment="1">
      <alignment wrapText="1"/>
    </xf>
    <xf numFmtId="177" fontId="20" fillId="0" borderId="3" xfId="0" applyNumberFormat="1" applyFont="1" applyFill="1" applyBorder="1" applyAlignment="1" applyProtection="1">
      <alignment wrapText="1"/>
    </xf>
    <xf numFmtId="177" fontId="20" fillId="0" borderId="0" xfId="0" applyNumberFormat="1" applyFont="1" applyFill="1" applyAlignment="1">
      <alignment wrapText="1"/>
    </xf>
    <xf numFmtId="177" fontId="20" fillId="0" borderId="0" xfId="35" applyNumberFormat="1" applyFont="1" applyFill="1" applyBorder="1" applyAlignment="1" applyProtection="1">
      <alignment wrapText="1"/>
    </xf>
    <xf numFmtId="177" fontId="20" fillId="0" borderId="0" xfId="0" applyNumberFormat="1" applyFont="1" applyFill="1" applyBorder="1" applyAlignment="1" applyProtection="1">
      <alignment wrapText="1"/>
    </xf>
    <xf numFmtId="177" fontId="19" fillId="0" borderId="3" xfId="0" applyNumberFormat="1" applyFont="1" applyFill="1" applyBorder="1" applyAlignment="1" applyProtection="1">
      <alignment wrapText="1"/>
    </xf>
    <xf numFmtId="10" fontId="19" fillId="0" borderId="0" xfId="0" applyNumberFormat="1" applyFont="1" applyFill="1" applyBorder="1" applyAlignment="1">
      <alignment wrapText="1"/>
    </xf>
    <xf numFmtId="182" fontId="19" fillId="0" borderId="0" xfId="35" applyNumberFormat="1" applyFont="1" applyFill="1" applyBorder="1" applyAlignment="1">
      <alignment wrapText="1"/>
    </xf>
    <xf numFmtId="177" fontId="19" fillId="0" borderId="0" xfId="0" applyNumberFormat="1" applyFont="1" applyFill="1" applyBorder="1" applyAlignment="1" applyProtection="1">
      <alignment wrapText="1"/>
    </xf>
    <xf numFmtId="194" fontId="20" fillId="0" borderId="0" xfId="16" applyNumberFormat="1" applyFont="1" applyFill="1" applyBorder="1" applyAlignment="1" applyProtection="1">
      <alignment wrapText="1"/>
    </xf>
    <xf numFmtId="194" fontId="20" fillId="0" borderId="7" xfId="16" applyNumberFormat="1" applyFont="1" applyFill="1" applyBorder="1" applyAlignment="1" applyProtection="1">
      <alignment wrapText="1"/>
    </xf>
    <xf numFmtId="182" fontId="20" fillId="0" borderId="0" xfId="0" applyNumberFormat="1" applyFont="1" applyFill="1" applyBorder="1" applyAlignment="1" applyProtection="1">
      <alignment wrapText="1"/>
    </xf>
    <xf numFmtId="177" fontId="19" fillId="0" borderId="7" xfId="0" applyNumberFormat="1" applyFont="1" applyFill="1" applyBorder="1" applyAlignment="1" applyProtection="1">
      <alignment wrapText="1"/>
    </xf>
    <xf numFmtId="177" fontId="20" fillId="0" borderId="7" xfId="0" applyNumberFormat="1" applyFont="1" applyFill="1" applyBorder="1" applyAlignment="1" applyProtection="1">
      <alignment wrapText="1"/>
    </xf>
    <xf numFmtId="177" fontId="20" fillId="0" borderId="13" xfId="0" applyNumberFormat="1" applyFont="1" applyFill="1" applyBorder="1" applyAlignment="1" applyProtection="1">
      <alignment wrapText="1"/>
    </xf>
    <xf numFmtId="176" fontId="19" fillId="0" borderId="8" xfId="0" applyNumberFormat="1" applyFont="1" applyFill="1" applyBorder="1" applyAlignment="1" applyProtection="1">
      <alignment wrapText="1"/>
    </xf>
    <xf numFmtId="194" fontId="19" fillId="0" borderId="0" xfId="16" applyNumberFormat="1" applyFont="1" applyFill="1" applyBorder="1" applyAlignment="1" applyProtection="1">
      <alignment wrapText="1"/>
    </xf>
    <xf numFmtId="177" fontId="20" fillId="0" borderId="9" xfId="0" applyNumberFormat="1" applyFont="1" applyFill="1" applyBorder="1" applyAlignment="1" applyProtection="1">
      <alignment wrapText="1"/>
    </xf>
    <xf numFmtId="0" fontId="23" fillId="0" borderId="0" xfId="0" applyFont="1" applyFill="1" applyAlignment="1">
      <alignment wrapText="1"/>
    </xf>
    <xf numFmtId="0" fontId="40" fillId="0" borderId="0" xfId="0" applyFont="1"/>
    <xf numFmtId="1" fontId="41" fillId="5" borderId="12" xfId="0" quotePrefix="1" applyNumberFormat="1" applyFont="1" applyFill="1" applyBorder="1" applyAlignment="1">
      <alignment horizontal="left" vertical="center" wrapText="1"/>
    </xf>
    <xf numFmtId="1" fontId="41" fillId="5" borderId="12" xfId="0" quotePrefix="1" applyNumberFormat="1" applyFont="1" applyFill="1" applyBorder="1" applyAlignment="1">
      <alignment horizontal="center" vertical="center" wrapText="1"/>
    </xf>
    <xf numFmtId="0" fontId="41" fillId="5" borderId="7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/>
    </xf>
    <xf numFmtId="177" fontId="40" fillId="0" borderId="0" xfId="16" applyNumberFormat="1" applyFont="1" applyAlignment="1">
      <alignment wrapText="1"/>
    </xf>
    <xf numFmtId="0" fontId="42" fillId="0" borderId="0" xfId="0" applyFont="1"/>
    <xf numFmtId="177" fontId="42" fillId="0" borderId="13" xfId="16" applyNumberFormat="1" applyFont="1" applyBorder="1" applyAlignment="1">
      <alignment wrapText="1"/>
    </xf>
    <xf numFmtId="180" fontId="19" fillId="0" borderId="13" xfId="0" quotePrefix="1" applyNumberFormat="1" applyFont="1" applyFill="1" applyBorder="1" applyAlignment="1">
      <alignment horizontal="center" wrapText="1"/>
    </xf>
    <xf numFmtId="177" fontId="42" fillId="0" borderId="0" xfId="16" applyNumberFormat="1" applyFont="1" applyAlignment="1">
      <alignment wrapText="1"/>
    </xf>
    <xf numFmtId="0" fontId="44" fillId="0" borderId="0" xfId="0" applyFont="1"/>
  </cellXfs>
  <cellStyles count="221">
    <cellStyle name="Body" xfId="1"/>
    <cellStyle name="Calc Currency (0)" xfId="2"/>
    <cellStyle name="Calc Currency (0) 2" xfId="3"/>
    <cellStyle name="Calc Currency (0) 2 2" xfId="4"/>
    <cellStyle name="Calc Currency (0) 3" xfId="5"/>
    <cellStyle name="Calc Currency (0) 3 2" xfId="6"/>
    <cellStyle name="Calc Currency (0) 4" xfId="7"/>
    <cellStyle name="Calc Currency (0) 4 2" xfId="8"/>
    <cellStyle name="Calc Currency (0) 5" xfId="9"/>
    <cellStyle name="Calc Currency (0) 5 2" xfId="10"/>
    <cellStyle name="Calc Currency (0) 6" xfId="11"/>
    <cellStyle name="Calc Currency (0) 6 2" xfId="12"/>
    <cellStyle name="Calc Currency (0) 7" xfId="13"/>
    <cellStyle name="Calc Currency (0) 7 2" xfId="14"/>
    <cellStyle name="Calc Currency (0) 8" xfId="15"/>
    <cellStyle name="Comma" xfId="16" builtinId="3"/>
    <cellStyle name="Comma 2" xfId="17"/>
    <cellStyle name="Comma 2 2" xfId="18"/>
    <cellStyle name="Comma 2 3" xfId="19"/>
    <cellStyle name="Comma 2 3 2" xfId="20"/>
    <cellStyle name="Comma 2 4" xfId="21"/>
    <cellStyle name="Comma 3" xfId="22"/>
    <cellStyle name="Comma 3 2" xfId="23"/>
    <cellStyle name="Comma 3 3" xfId="24"/>
    <cellStyle name="Comma 4" xfId="25"/>
    <cellStyle name="Comma 5" xfId="26"/>
    <cellStyle name="Comma 6" xfId="27"/>
    <cellStyle name="Comma 6 2" xfId="28"/>
    <cellStyle name="Comma 7" xfId="29"/>
    <cellStyle name="Comma 9" xfId="30"/>
    <cellStyle name="Comma 9 2" xfId="31"/>
    <cellStyle name="Comma 9 2 2" xfId="32"/>
    <cellStyle name="COMMA, 0" xfId="33"/>
    <cellStyle name="Copied" xfId="34"/>
    <cellStyle name="Currency" xfId="35" builtinId="4"/>
    <cellStyle name="Currency 2" xfId="36"/>
    <cellStyle name="Currency 2 2" xfId="37"/>
    <cellStyle name="Currency 2 3" xfId="38"/>
    <cellStyle name="Currency 3" xfId="39"/>
    <cellStyle name="Currency 3 2" xfId="40"/>
    <cellStyle name="Currency 3 2 2" xfId="41"/>
    <cellStyle name="Currency 3 3" xfId="42"/>
    <cellStyle name="Currency 3 3 2" xfId="43"/>
    <cellStyle name="Currency 3 4" xfId="44"/>
    <cellStyle name="Currency 3 4 2" xfId="45"/>
    <cellStyle name="Currency 3 5" xfId="46"/>
    <cellStyle name="Currency 3 5 2" xfId="47"/>
    <cellStyle name="Currency 3 6" xfId="48"/>
    <cellStyle name="Currency 3 6 2" xfId="49"/>
    <cellStyle name="Currency 3 7" xfId="50"/>
    <cellStyle name="Currency 4" xfId="51"/>
    <cellStyle name="Currency 4 2" xfId="52"/>
    <cellStyle name="Currency 8" xfId="53"/>
    <cellStyle name="Currency 8 2" xfId="54"/>
    <cellStyle name="Currency 8 2 2" xfId="55"/>
    <cellStyle name="Entered" xfId="56"/>
    <cellStyle name="Grey" xfId="57"/>
    <cellStyle name="Header1" xfId="58"/>
    <cellStyle name="Header2" xfId="59"/>
    <cellStyle name="Input [yellow]" xfId="60"/>
    <cellStyle name="Normal" xfId="0" builtinId="0"/>
    <cellStyle name="Normal - Style1" xfId="61"/>
    <cellStyle name="Normal - Style1 2" xfId="62"/>
    <cellStyle name="Normal - Style1 2 2" xfId="63"/>
    <cellStyle name="Normal - Style1 3" xfId="64"/>
    <cellStyle name="Normal - Style1 3 2" xfId="65"/>
    <cellStyle name="Normal - Style1 4" xfId="66"/>
    <cellStyle name="Normal - Style1 4 2" xfId="67"/>
    <cellStyle name="Normal - Style1 5" xfId="68"/>
    <cellStyle name="Normal - Style1 5 2" xfId="69"/>
    <cellStyle name="Normal - Style1 6" xfId="70"/>
    <cellStyle name="Normal - Style1 6 2" xfId="71"/>
    <cellStyle name="Normal - Style1 7" xfId="72"/>
    <cellStyle name="Normal - Style1 7 2" xfId="73"/>
    <cellStyle name="Normal - Style1 8" xfId="74"/>
    <cellStyle name="Normal 10" xfId="75"/>
    <cellStyle name="Normal 10 2" xfId="76"/>
    <cellStyle name="Normal 10 2 2" xfId="77"/>
    <cellStyle name="Normal 10 3" xfId="78"/>
    <cellStyle name="Normal 11" xfId="79"/>
    <cellStyle name="Normal 11 2" xfId="80"/>
    <cellStyle name="Normal 11 2 2" xfId="81"/>
    <cellStyle name="Normal 11 3" xfId="82"/>
    <cellStyle name="Normal 12" xfId="83"/>
    <cellStyle name="Normal 12 2" xfId="84"/>
    <cellStyle name="Normal 12 3" xfId="85"/>
    <cellStyle name="Normal 13" xfId="86"/>
    <cellStyle name="Normal 13 2" xfId="87"/>
    <cellStyle name="Normal 13 3" xfId="88"/>
    <cellStyle name="Normal 14" xfId="89"/>
    <cellStyle name="Normal 14 2" xfId="90"/>
    <cellStyle name="Normal 14 3" xfId="91"/>
    <cellStyle name="Normal 15" xfId="92"/>
    <cellStyle name="Normal 15 2" xfId="93"/>
    <cellStyle name="Normal 15 2 2" xfId="94"/>
    <cellStyle name="Normal 15 3" xfId="95"/>
    <cellStyle name="Normal 15 4" xfId="96"/>
    <cellStyle name="Normal 16" xfId="97"/>
    <cellStyle name="Normal 16 2" xfId="98"/>
    <cellStyle name="Normal 16 3" xfId="99"/>
    <cellStyle name="Normal 17" xfId="100"/>
    <cellStyle name="Normal 17 2" xfId="101"/>
    <cellStyle name="Normal 18" xfId="102"/>
    <cellStyle name="Normal 18 2" xfId="103"/>
    <cellStyle name="Normal 19" xfId="104"/>
    <cellStyle name="Normal 19 2" xfId="105"/>
    <cellStyle name="Normal 2" xfId="106"/>
    <cellStyle name="Normal 2 2" xfId="107"/>
    <cellStyle name="Normal 2 2 2" xfId="108"/>
    <cellStyle name="Normal 2 2 2 2" xfId="109"/>
    <cellStyle name="Normal 2 2 3" xfId="110"/>
    <cellStyle name="Normal 2 2 4" xfId="111"/>
    <cellStyle name="Normal 2 3" xfId="112"/>
    <cellStyle name="Normal 2 4" xfId="113"/>
    <cellStyle name="Normal 2 5" xfId="114"/>
    <cellStyle name="Normal 20" xfId="115"/>
    <cellStyle name="Normal 20 2" xfId="116"/>
    <cellStyle name="Normal 21" xfId="117"/>
    <cellStyle name="Normal 21 2" xfId="118"/>
    <cellStyle name="Normal 22" xfId="119"/>
    <cellStyle name="Normal 22 2" xfId="120"/>
    <cellStyle name="Normal 23" xfId="121"/>
    <cellStyle name="Normal 23 2" xfId="122"/>
    <cellStyle name="Normal 24" xfId="123"/>
    <cellStyle name="Normal 24 2" xfId="124"/>
    <cellStyle name="Normal 25" xfId="125"/>
    <cellStyle name="Normal 25 2" xfId="126"/>
    <cellStyle name="Normal 26" xfId="127"/>
    <cellStyle name="Normal 26 2" xfId="128"/>
    <cellStyle name="Normal 27" xfId="129"/>
    <cellStyle name="Normal 27 2" xfId="130"/>
    <cellStyle name="Normal 28" xfId="131"/>
    <cellStyle name="Normal 28 2" xfId="132"/>
    <cellStyle name="Normal 29" xfId="133"/>
    <cellStyle name="Normal 29 2" xfId="134"/>
    <cellStyle name="Normal 3" xfId="135"/>
    <cellStyle name="Normal 3 2" xfId="136"/>
    <cellStyle name="Normal 3 2 2" xfId="137"/>
    <cellStyle name="Normal 3 2 2 2" xfId="138"/>
    <cellStyle name="Normal 3 2 3" xfId="139"/>
    <cellStyle name="Normal 3 3" xfId="140"/>
    <cellStyle name="Normal 30" xfId="141"/>
    <cellStyle name="Normal 30 2" xfId="142"/>
    <cellStyle name="Normal 31" xfId="143"/>
    <cellStyle name="Normal 31 2" xfId="144"/>
    <cellStyle name="Normal 32" xfId="145"/>
    <cellStyle name="Normal 32 2" xfId="146"/>
    <cellStyle name="Normal 33" xfId="147"/>
    <cellStyle name="Normal 33 2" xfId="148"/>
    <cellStyle name="Normal 34" xfId="149"/>
    <cellStyle name="Normal 35" xfId="150"/>
    <cellStyle name="Normal 36" xfId="151"/>
    <cellStyle name="Normal 4" xfId="152"/>
    <cellStyle name="Normal 4 2" xfId="153"/>
    <cellStyle name="Normal 4 2 2" xfId="154"/>
    <cellStyle name="Normal 4 2 2 2" xfId="155"/>
    <cellStyle name="Normal 4 2 3" xfId="156"/>
    <cellStyle name="Normal 4 3" xfId="157"/>
    <cellStyle name="Normal 5" xfId="158"/>
    <cellStyle name="Normal 5 2" xfId="159"/>
    <cellStyle name="Normal 5 3" xfId="160"/>
    <cellStyle name="Normal 5 3 2" xfId="161"/>
    <cellStyle name="Normal 5 4" xfId="162"/>
    <cellStyle name="Normal 6" xfId="163"/>
    <cellStyle name="Normal 6 2" xfId="164"/>
    <cellStyle name="Normal 6 2 2" xfId="165"/>
    <cellStyle name="Normal 6 3" xfId="166"/>
    <cellStyle name="Normal 7" xfId="167"/>
    <cellStyle name="Normal 7 2" xfId="168"/>
    <cellStyle name="Normal 7 2 2" xfId="169"/>
    <cellStyle name="Normal 7 3" xfId="170"/>
    <cellStyle name="Normal 8" xfId="171"/>
    <cellStyle name="Normal 8 2" xfId="172"/>
    <cellStyle name="Normal 8 2 2" xfId="173"/>
    <cellStyle name="Normal 8 3" xfId="174"/>
    <cellStyle name="Normal 9" xfId="175"/>
    <cellStyle name="Normal 9 2" xfId="176"/>
    <cellStyle name="Normal 9 2 2" xfId="177"/>
    <cellStyle name="Normal 9 3" xfId="178"/>
    <cellStyle name="Normal_1q00-supp" xfId="179"/>
    <cellStyle name="Normal_2000qer1s" xfId="180"/>
    <cellStyle name="Normal_4Q Asset mgmt PRS" xfId="181"/>
    <cellStyle name="Normal_citigroup BS-growth analysis" xfId="182"/>
    <cellStyle name="Normal_New Supplement v26" xfId="183"/>
    <cellStyle name="Normal_NIS" xfId="184"/>
    <cellStyle name="Normal_qer074s" xfId="185"/>
    <cellStyle name="Normal_Sept21" xfId="186"/>
    <cellStyle name="Per cent" xfId="187" builtinId="5"/>
    <cellStyle name="Percent [2]" xfId="188"/>
    <cellStyle name="Percent 10" xfId="189"/>
    <cellStyle name="Percent 10 2" xfId="190"/>
    <cellStyle name="Percent 11" xfId="191"/>
    <cellStyle name="Percent 11 2" xfId="192"/>
    <cellStyle name="Percent 12" xfId="193"/>
    <cellStyle name="Percent 13" xfId="194"/>
    <cellStyle name="Percent 14" xfId="195"/>
    <cellStyle name="Percent 2" xfId="196"/>
    <cellStyle name="Percent 2 2" xfId="197"/>
    <cellStyle name="Percent 2 2 2" xfId="198"/>
    <cellStyle name="Percent 2 2 2 2" xfId="199"/>
    <cellStyle name="Percent 2 3" xfId="200"/>
    <cellStyle name="Percent 3" xfId="201"/>
    <cellStyle name="Percent 3 2" xfId="202"/>
    <cellStyle name="Percent 3 2 2" xfId="203"/>
    <cellStyle name="Percent 3 3" xfId="204"/>
    <cellStyle name="Percent 4" xfId="205"/>
    <cellStyle name="Percent 4 2" xfId="206"/>
    <cellStyle name="Percent 4 2 2" xfId="207"/>
    <cellStyle name="Percent 5" xfId="208"/>
    <cellStyle name="Percent 5 2" xfId="209"/>
    <cellStyle name="Percent 5 2 2" xfId="210"/>
    <cellStyle name="Percent 6" xfId="211"/>
    <cellStyle name="Percent 7" xfId="212"/>
    <cellStyle name="Percent 8" xfId="213"/>
    <cellStyle name="Percent 8 2" xfId="214"/>
    <cellStyle name="Percent 9" xfId="215"/>
    <cellStyle name="Percent 9 2" xfId="216"/>
    <cellStyle name="RevList" xfId="217"/>
    <cellStyle name="SelectFormat" xfId="218"/>
    <cellStyle name="SHEET2!Normal" xfId="219"/>
    <cellStyle name="Subtotal" xfId="22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2"/>
  <sheetViews>
    <sheetView tabSelected="1" zoomScale="85" workbookViewId="0">
      <selection activeCell="B10" sqref="B10"/>
    </sheetView>
  </sheetViews>
  <sheetFormatPr defaultRowHeight="12.75" x14ac:dyDescent="0.2"/>
  <cols>
    <col min="2" max="2" width="93.1640625" customWidth="1"/>
    <col min="3" max="4" width="13.1640625" customWidth="1"/>
    <col min="5" max="5" width="18" customWidth="1"/>
  </cols>
  <sheetData>
    <row r="3" spans="1:9" ht="90" x14ac:dyDescent="0.25">
      <c r="A3" s="392"/>
      <c r="B3" s="393" t="s">
        <v>0</v>
      </c>
      <c r="C3" s="394" t="s">
        <v>1</v>
      </c>
      <c r="D3" s="394" t="s">
        <v>2</v>
      </c>
      <c r="E3" s="395" t="s">
        <v>3</v>
      </c>
      <c r="F3" s="392"/>
      <c r="G3" s="392"/>
      <c r="H3" s="392"/>
      <c r="I3" s="392"/>
    </row>
    <row r="4" spans="1:9" ht="18" x14ac:dyDescent="0.25">
      <c r="A4" s="392"/>
      <c r="B4" s="396" t="s">
        <v>4</v>
      </c>
      <c r="C4" s="397">
        <v>9159</v>
      </c>
      <c r="D4" s="397">
        <v>8908</v>
      </c>
      <c r="E4" s="361">
        <f>C4/D4-1</f>
        <v>0.03</v>
      </c>
      <c r="F4" s="392"/>
      <c r="G4" s="392"/>
      <c r="H4" s="392"/>
      <c r="I4" s="392"/>
    </row>
    <row r="5" spans="1:9" ht="18" x14ac:dyDescent="0.25">
      <c r="A5" s="392"/>
      <c r="B5" s="396" t="s">
        <v>5</v>
      </c>
      <c r="C5" s="397">
        <v>6096</v>
      </c>
      <c r="D5" s="397">
        <v>5785</v>
      </c>
      <c r="E5" s="361">
        <f t="shared" ref="E5:E26" si="0">C5/D5-1</f>
        <v>0.05</v>
      </c>
      <c r="F5" s="392"/>
      <c r="G5" s="392"/>
      <c r="H5" s="392"/>
      <c r="I5" s="392"/>
    </row>
    <row r="6" spans="1:9" ht="18" x14ac:dyDescent="0.25">
      <c r="A6" s="392"/>
      <c r="B6" s="396" t="s">
        <v>6</v>
      </c>
      <c r="C6" s="397">
        <v>2052</v>
      </c>
      <c r="D6" s="397">
        <v>2193</v>
      </c>
      <c r="E6" s="361">
        <f t="shared" si="0"/>
        <v>-0.06</v>
      </c>
      <c r="F6" s="392"/>
      <c r="G6" s="392"/>
      <c r="H6" s="392"/>
      <c r="I6" s="392"/>
    </row>
    <row r="7" spans="1:9" ht="18" x14ac:dyDescent="0.25">
      <c r="A7" s="392"/>
      <c r="B7" s="396" t="s">
        <v>7</v>
      </c>
      <c r="C7" s="397">
        <v>699</v>
      </c>
      <c r="D7" s="397">
        <v>131</v>
      </c>
      <c r="E7" s="361" t="s">
        <v>8</v>
      </c>
      <c r="F7" s="392"/>
      <c r="G7" s="392"/>
      <c r="H7" s="392"/>
      <c r="I7" s="392"/>
    </row>
    <row r="8" spans="1:9" ht="18" x14ac:dyDescent="0.25">
      <c r="A8" s="392"/>
      <c r="B8" s="398" t="s">
        <v>9</v>
      </c>
      <c r="C8" s="399">
        <f>SUM(C4:C7)</f>
        <v>18006</v>
      </c>
      <c r="D8" s="399">
        <f>SUM(D4:D7)</f>
        <v>17017</v>
      </c>
      <c r="E8" s="400">
        <f t="shared" si="0"/>
        <v>0.06</v>
      </c>
      <c r="F8" s="392"/>
      <c r="G8" s="392"/>
      <c r="H8" s="392"/>
      <c r="I8" s="392"/>
    </row>
    <row r="9" spans="1:9" ht="18" x14ac:dyDescent="0.25">
      <c r="A9" s="392"/>
      <c r="B9" s="392"/>
      <c r="C9" s="397"/>
      <c r="D9" s="397"/>
      <c r="E9" s="361"/>
      <c r="F9" s="392"/>
      <c r="G9" s="392"/>
      <c r="H9" s="392"/>
      <c r="I9" s="392"/>
    </row>
    <row r="10" spans="1:9" ht="18" x14ac:dyDescent="0.25">
      <c r="A10" s="392"/>
      <c r="B10" s="402" t="s">
        <v>10</v>
      </c>
      <c r="C10" s="401">
        <v>12985</v>
      </c>
      <c r="D10" s="401">
        <v>13532</v>
      </c>
      <c r="E10" s="359">
        <f t="shared" si="0"/>
        <v>-0.04</v>
      </c>
      <c r="F10" s="392"/>
      <c r="G10" s="392"/>
      <c r="H10" s="392"/>
      <c r="I10" s="392"/>
    </row>
    <row r="11" spans="1:9" ht="18" x14ac:dyDescent="0.25">
      <c r="A11" s="392"/>
      <c r="B11" s="392"/>
      <c r="C11" s="397"/>
      <c r="D11" s="397"/>
      <c r="E11" s="361"/>
      <c r="F11" s="392"/>
      <c r="G11" s="392"/>
      <c r="H11" s="392"/>
      <c r="I11" s="392"/>
    </row>
    <row r="12" spans="1:9" ht="18" x14ac:dyDescent="0.25">
      <c r="A12" s="392"/>
      <c r="B12" s="396" t="s">
        <v>11</v>
      </c>
      <c r="C12" s="397">
        <v>1180</v>
      </c>
      <c r="D12" s="397">
        <v>866</v>
      </c>
      <c r="E12" s="361">
        <f t="shared" si="0"/>
        <v>0.36</v>
      </c>
      <c r="F12" s="392"/>
      <c r="G12" s="392"/>
      <c r="H12" s="392"/>
      <c r="I12" s="392"/>
    </row>
    <row r="13" spans="1:9" ht="21" x14ac:dyDescent="0.25">
      <c r="A13" s="392"/>
      <c r="B13" s="396" t="s">
        <v>12</v>
      </c>
      <c r="C13" s="397">
        <v>640</v>
      </c>
      <c r="D13" s="397">
        <v>-1369</v>
      </c>
      <c r="E13" s="361" t="s">
        <v>8</v>
      </c>
      <c r="F13" s="392"/>
      <c r="G13" s="392"/>
      <c r="H13" s="392"/>
      <c r="I13" s="392"/>
    </row>
    <row r="14" spans="1:9" ht="21" x14ac:dyDescent="0.25">
      <c r="A14" s="392"/>
      <c r="B14" s="396" t="s">
        <v>13</v>
      </c>
      <c r="C14" s="397">
        <v>25</v>
      </c>
      <c r="D14" s="397">
        <v>38</v>
      </c>
      <c r="E14" s="361">
        <f t="shared" si="0"/>
        <v>-0.34</v>
      </c>
      <c r="F14" s="392"/>
      <c r="G14" s="392"/>
      <c r="H14" s="392"/>
      <c r="I14" s="392"/>
    </row>
    <row r="15" spans="1:9" ht="18" x14ac:dyDescent="0.25">
      <c r="A15" s="392"/>
      <c r="B15" s="398" t="s">
        <v>14</v>
      </c>
      <c r="C15" s="399">
        <f>SUM(C12:C14)</f>
        <v>1845</v>
      </c>
      <c r="D15" s="399">
        <f>SUM(D12:D14)</f>
        <v>-465</v>
      </c>
      <c r="E15" s="400" t="s">
        <v>8</v>
      </c>
      <c r="F15" s="392"/>
      <c r="G15" s="392"/>
      <c r="H15" s="392"/>
      <c r="I15" s="392"/>
    </row>
    <row r="16" spans="1:9" ht="18" x14ac:dyDescent="0.25">
      <c r="A16" s="392"/>
      <c r="B16" s="392"/>
      <c r="C16" s="397"/>
      <c r="D16" s="397"/>
      <c r="E16" s="361"/>
      <c r="F16" s="392"/>
      <c r="G16" s="392"/>
      <c r="H16" s="392"/>
      <c r="I16" s="392"/>
    </row>
    <row r="17" spans="1:9" ht="18" x14ac:dyDescent="0.25">
      <c r="A17" s="392"/>
      <c r="B17" s="398" t="s">
        <v>15</v>
      </c>
      <c r="C17" s="401">
        <f>C8-C10-C15</f>
        <v>3176</v>
      </c>
      <c r="D17" s="401">
        <f>D8-D10-D15</f>
        <v>3950</v>
      </c>
      <c r="E17" s="359">
        <f t="shared" si="0"/>
        <v>-0.2</v>
      </c>
      <c r="F17" s="392"/>
      <c r="G17" s="392"/>
      <c r="H17" s="392"/>
      <c r="I17" s="392"/>
    </row>
    <row r="18" spans="1:9" ht="18" x14ac:dyDescent="0.25">
      <c r="A18" s="392"/>
      <c r="B18" s="392" t="s">
        <v>16</v>
      </c>
      <c r="C18" s="397">
        <v>640</v>
      </c>
      <c r="D18" s="397">
        <v>771</v>
      </c>
      <c r="E18" s="361">
        <f t="shared" si="0"/>
        <v>-0.17</v>
      </c>
      <c r="F18" s="392"/>
      <c r="G18" s="392"/>
      <c r="H18" s="392"/>
      <c r="I18" s="392"/>
    </row>
    <row r="19" spans="1:9" ht="18" x14ac:dyDescent="0.25">
      <c r="A19" s="392"/>
      <c r="B19" s="398" t="s">
        <v>17</v>
      </c>
      <c r="C19" s="399">
        <f>C17-C18</f>
        <v>2536</v>
      </c>
      <c r="D19" s="399">
        <f>D17-D18</f>
        <v>3179</v>
      </c>
      <c r="E19" s="400">
        <f t="shared" si="0"/>
        <v>-0.2</v>
      </c>
      <c r="F19" s="392"/>
      <c r="G19" s="392"/>
      <c r="H19" s="392"/>
      <c r="I19" s="392"/>
    </row>
    <row r="20" spans="1:9" ht="18" x14ac:dyDescent="0.25">
      <c r="A20" s="392"/>
      <c r="B20" s="392" t="s">
        <v>18</v>
      </c>
      <c r="C20" s="397">
        <v>-2</v>
      </c>
      <c r="D20" s="397">
        <v>0</v>
      </c>
      <c r="E20" s="361" t="s">
        <v>8</v>
      </c>
      <c r="F20" s="392"/>
      <c r="G20" s="392"/>
      <c r="H20" s="392"/>
      <c r="I20" s="392"/>
    </row>
    <row r="21" spans="1:9" ht="18" x14ac:dyDescent="0.25">
      <c r="A21" s="392"/>
      <c r="B21" s="392" t="s">
        <v>19</v>
      </c>
      <c r="C21" s="397">
        <v>21</v>
      </c>
      <c r="D21" s="397">
        <v>6</v>
      </c>
      <c r="E21" s="361" t="s">
        <v>8</v>
      </c>
      <c r="F21" s="392"/>
      <c r="G21" s="392"/>
      <c r="H21" s="392"/>
      <c r="I21" s="392"/>
    </row>
    <row r="22" spans="1:9" ht="18" x14ac:dyDescent="0.25">
      <c r="A22" s="392"/>
      <c r="B22" s="398" t="s">
        <v>20</v>
      </c>
      <c r="C22" s="399">
        <f>C19+C20-C21</f>
        <v>2513</v>
      </c>
      <c r="D22" s="399">
        <f>D19+D20-D21</f>
        <v>3173</v>
      </c>
      <c r="E22" s="400">
        <f t="shared" si="0"/>
        <v>-0.21</v>
      </c>
      <c r="F22" s="392"/>
      <c r="G22" s="392"/>
      <c r="H22" s="392"/>
      <c r="I22" s="392"/>
    </row>
    <row r="23" spans="1:9" ht="18" x14ac:dyDescent="0.25">
      <c r="A23" s="392"/>
      <c r="B23" s="392"/>
      <c r="C23" s="397"/>
      <c r="D23" s="397"/>
      <c r="E23" s="361"/>
      <c r="F23" s="392"/>
      <c r="G23" s="392"/>
      <c r="H23" s="392"/>
      <c r="I23" s="392"/>
    </row>
    <row r="24" spans="1:9" ht="18" x14ac:dyDescent="0.25">
      <c r="A24" s="392"/>
      <c r="B24" s="392" t="s">
        <v>21</v>
      </c>
      <c r="C24" s="397"/>
      <c r="D24" s="397"/>
      <c r="E24" s="361"/>
      <c r="F24" s="392"/>
      <c r="G24" s="392"/>
      <c r="H24" s="392"/>
      <c r="I24" s="392"/>
    </row>
    <row r="25" spans="1:9" ht="18" x14ac:dyDescent="0.25">
      <c r="A25" s="392"/>
      <c r="B25" s="396" t="s">
        <v>4</v>
      </c>
      <c r="C25" s="397">
        <v>1916</v>
      </c>
      <c r="D25" s="397">
        <v>2330</v>
      </c>
      <c r="E25" s="361">
        <f t="shared" si="0"/>
        <v>-0.18</v>
      </c>
      <c r="F25" s="392"/>
      <c r="G25" s="392"/>
      <c r="H25" s="392"/>
      <c r="I25" s="392"/>
    </row>
    <row r="26" spans="1:9" ht="18" x14ac:dyDescent="0.25">
      <c r="A26" s="392"/>
      <c r="B26" s="396" t="s">
        <v>5</v>
      </c>
      <c r="C26" s="397">
        <v>114</v>
      </c>
      <c r="D26" s="397">
        <v>1613</v>
      </c>
      <c r="E26" s="361">
        <f t="shared" si="0"/>
        <v>-0.93</v>
      </c>
      <c r="F26" s="392"/>
      <c r="G26" s="392"/>
      <c r="H26" s="392"/>
      <c r="I26" s="392"/>
    </row>
    <row r="27" spans="1:9" ht="18" x14ac:dyDescent="0.25">
      <c r="A27" s="392"/>
      <c r="B27" s="396" t="s">
        <v>6</v>
      </c>
      <c r="C27" s="397">
        <v>75</v>
      </c>
      <c r="D27" s="397">
        <v>-620</v>
      </c>
      <c r="E27" s="361" t="s">
        <v>8</v>
      </c>
      <c r="F27" s="392"/>
      <c r="G27" s="392"/>
      <c r="H27" s="392"/>
      <c r="I27" s="392"/>
    </row>
    <row r="28" spans="1:9" ht="18" x14ac:dyDescent="0.25">
      <c r="A28" s="392"/>
      <c r="B28" s="396" t="s">
        <v>7</v>
      </c>
      <c r="C28" s="397">
        <v>431</v>
      </c>
      <c r="D28" s="397">
        <v>-144</v>
      </c>
      <c r="E28" s="361" t="s">
        <v>8</v>
      </c>
      <c r="F28" s="392"/>
      <c r="G28" s="392"/>
      <c r="H28" s="392"/>
      <c r="I28" s="392"/>
    </row>
    <row r="29" spans="1:9" ht="18" x14ac:dyDescent="0.25">
      <c r="A29" s="392"/>
      <c r="B29" s="392"/>
      <c r="C29" s="392"/>
      <c r="D29" s="392"/>
      <c r="E29" s="392"/>
      <c r="F29" s="392"/>
      <c r="G29" s="392"/>
      <c r="H29" s="392"/>
      <c r="I29" s="392"/>
    </row>
    <row r="30" spans="1:9" ht="18" x14ac:dyDescent="0.25">
      <c r="A30" s="392"/>
      <c r="B30" s="396" t="s">
        <v>22</v>
      </c>
      <c r="C30" s="392"/>
      <c r="D30" s="392"/>
      <c r="E30" s="392"/>
      <c r="F30" s="392"/>
      <c r="G30" s="392"/>
      <c r="H30" s="392"/>
      <c r="I30" s="392"/>
    </row>
    <row r="31" spans="1:9" ht="18" x14ac:dyDescent="0.25">
      <c r="A31" s="392"/>
      <c r="B31" s="396" t="s">
        <v>23</v>
      </c>
      <c r="C31" s="392"/>
      <c r="D31" s="392"/>
      <c r="E31" s="392"/>
      <c r="F31" s="392"/>
      <c r="G31" s="392"/>
      <c r="H31" s="392"/>
      <c r="I31" s="392"/>
    </row>
    <row r="32" spans="1:9" ht="18" x14ac:dyDescent="0.25">
      <c r="A32" s="392"/>
      <c r="B32" s="392"/>
      <c r="C32" s="392"/>
      <c r="D32" s="392"/>
      <c r="E32" s="392"/>
      <c r="F32" s="392"/>
      <c r="G32" s="392"/>
      <c r="H32" s="392"/>
      <c r="I32" s="392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8"/>
  <sheetViews>
    <sheetView showGridLines="0" zoomScale="90" workbookViewId="0">
      <pane xSplit="5" ySplit="6" topLeftCell="F16" activePane="bottomRight" state="frozen"/>
      <selection activeCell="E25" sqref="E25"/>
      <selection pane="topRight" activeCell="E25" sqref="E25"/>
      <selection pane="bottomLeft" activeCell="E25" sqref="E25"/>
      <selection pane="bottomRight" activeCell="D24" sqref="D24"/>
    </sheetView>
  </sheetViews>
  <sheetFormatPr defaultRowHeight="15" x14ac:dyDescent="0.2"/>
  <cols>
    <col min="1" max="1" width="4.83203125" style="19" customWidth="1"/>
    <col min="2" max="2" width="5.1640625" style="19" customWidth="1"/>
    <col min="3" max="3" width="5.33203125" style="19" customWidth="1"/>
    <col min="4" max="4" width="96.33203125" style="19" customWidth="1"/>
    <col min="5" max="5" width="2.83203125" style="19" customWidth="1"/>
    <col min="6" max="6" width="18.83203125" style="391" customWidth="1"/>
    <col min="7" max="7" width="2.83203125" style="391" customWidth="1"/>
    <col min="8" max="8" width="16.33203125" style="391" customWidth="1"/>
    <col min="9" max="9" width="2.83203125" style="391" customWidth="1"/>
    <col min="10" max="10" width="29.5" style="391" customWidth="1"/>
    <col min="11" max="16384" width="9.33203125" style="19"/>
  </cols>
  <sheetData>
    <row r="1" spans="2:10" s="33" customFormat="1" ht="18" customHeight="1" x14ac:dyDescent="0.25">
      <c r="F1" s="357"/>
      <c r="G1" s="357"/>
      <c r="H1" s="357"/>
      <c r="I1" s="357"/>
      <c r="J1" s="357"/>
    </row>
    <row r="2" spans="2:10" s="82" customFormat="1" ht="20.100000000000001" customHeight="1" x14ac:dyDescent="0.3">
      <c r="B2" s="34" t="s">
        <v>24</v>
      </c>
      <c r="C2" s="34"/>
      <c r="D2" s="34"/>
      <c r="E2" s="34"/>
      <c r="F2" s="365"/>
      <c r="G2" s="365"/>
      <c r="H2" s="365"/>
      <c r="I2" s="365"/>
      <c r="J2" s="365"/>
    </row>
    <row r="3" spans="2:10" s="33" customFormat="1" ht="18" customHeight="1" x14ac:dyDescent="0.25">
      <c r="B3" s="36" t="s">
        <v>25</v>
      </c>
      <c r="C3" s="36"/>
      <c r="D3" s="36"/>
      <c r="E3" s="36"/>
      <c r="F3" s="366"/>
      <c r="G3" s="366"/>
      <c r="H3" s="366"/>
      <c r="I3" s="366"/>
      <c r="J3" s="366"/>
    </row>
    <row r="4" spans="2:10" s="33" customFormat="1" ht="18" customHeight="1" x14ac:dyDescent="0.25">
      <c r="B4" s="36"/>
      <c r="C4" s="36"/>
      <c r="D4" s="36"/>
      <c r="E4" s="36"/>
      <c r="F4" s="366"/>
      <c r="G4" s="366"/>
      <c r="H4" s="367"/>
      <c r="I4" s="366"/>
      <c r="J4" s="366"/>
    </row>
    <row r="5" spans="2:10" s="33" customFormat="1" ht="18" customHeight="1" x14ac:dyDescent="0.25">
      <c r="B5" s="36"/>
      <c r="C5" s="36"/>
      <c r="D5" s="36"/>
      <c r="E5" s="36"/>
      <c r="F5" s="366"/>
      <c r="G5" s="366"/>
      <c r="H5" s="368"/>
      <c r="I5" s="366"/>
      <c r="J5" s="366"/>
    </row>
    <row r="6" spans="2:10" s="33" customFormat="1" ht="54" x14ac:dyDescent="0.25">
      <c r="E6" s="14"/>
      <c r="F6" s="355" t="s">
        <v>2</v>
      </c>
      <c r="G6" s="355"/>
      <c r="H6" s="355" t="s">
        <v>1</v>
      </c>
      <c r="I6" s="358"/>
      <c r="J6" s="356" t="s">
        <v>3</v>
      </c>
    </row>
    <row r="7" spans="2:10" s="33" customFormat="1" ht="18" customHeight="1" x14ac:dyDescent="0.25">
      <c r="B7" s="90" t="s">
        <v>26</v>
      </c>
      <c r="E7" s="40"/>
      <c r="F7" s="369"/>
      <c r="G7" s="358"/>
      <c r="H7" s="358"/>
      <c r="I7" s="358"/>
      <c r="J7" s="370"/>
    </row>
    <row r="8" spans="2:10" s="33" customFormat="1" ht="18" customHeight="1" x14ac:dyDescent="0.25">
      <c r="B8" s="90"/>
      <c r="C8" s="33" t="s">
        <v>27</v>
      </c>
      <c r="E8" s="40"/>
      <c r="F8" s="371">
        <v>12828</v>
      </c>
      <c r="G8" s="358"/>
      <c r="H8" s="371">
        <v>25708</v>
      </c>
      <c r="I8" s="358"/>
      <c r="J8" s="361">
        <v>1</v>
      </c>
    </row>
    <row r="9" spans="2:10" s="33" customFormat="1" ht="18" customHeight="1" x14ac:dyDescent="0.25">
      <c r="B9" s="90"/>
      <c r="C9" s="33" t="s">
        <v>28</v>
      </c>
      <c r="E9" s="40"/>
      <c r="F9" s="372">
        <v>2009</v>
      </c>
      <c r="G9" s="373"/>
      <c r="H9" s="372">
        <v>12438</v>
      </c>
      <c r="I9" s="363"/>
      <c r="J9" s="361" t="s">
        <v>8</v>
      </c>
    </row>
    <row r="10" spans="2:10" s="33" customFormat="1" ht="18" customHeight="1" x14ac:dyDescent="0.25">
      <c r="B10" s="90"/>
      <c r="D10" s="33" t="s">
        <v>29</v>
      </c>
      <c r="E10" s="40"/>
      <c r="F10" s="374">
        <v>10819</v>
      </c>
      <c r="G10" s="358"/>
      <c r="H10" s="374">
        <v>13270</v>
      </c>
      <c r="I10" s="358"/>
      <c r="J10" s="361">
        <v>0.23</v>
      </c>
    </row>
    <row r="11" spans="2:10" s="33" customFormat="1" ht="18" customHeight="1" x14ac:dyDescent="0.25">
      <c r="F11" s="375"/>
      <c r="G11" s="357"/>
      <c r="H11" s="375"/>
      <c r="I11" s="357"/>
      <c r="J11" s="361"/>
    </row>
    <row r="12" spans="2:10" s="33" customFormat="1" ht="18" customHeight="1" x14ac:dyDescent="0.25">
      <c r="B12" s="90"/>
      <c r="C12" s="98" t="s">
        <v>30</v>
      </c>
      <c r="E12" s="60"/>
      <c r="F12" s="376">
        <v>3229</v>
      </c>
      <c r="G12" s="373"/>
      <c r="H12" s="376">
        <v>2016</v>
      </c>
      <c r="I12" s="363"/>
      <c r="J12" s="361">
        <v>-0.38</v>
      </c>
    </row>
    <row r="13" spans="2:10" s="33" customFormat="1" ht="18" customHeight="1" x14ac:dyDescent="0.25">
      <c r="B13" s="90"/>
      <c r="C13" s="98" t="s">
        <v>31</v>
      </c>
      <c r="E13" s="60"/>
      <c r="F13" s="376">
        <v>1704</v>
      </c>
      <c r="G13" s="373"/>
      <c r="H13" s="376">
        <v>2419</v>
      </c>
      <c r="I13" s="363"/>
      <c r="J13" s="361">
        <v>0.42</v>
      </c>
    </row>
    <row r="14" spans="2:10" s="33" customFormat="1" ht="18" customHeight="1" x14ac:dyDescent="0.25">
      <c r="B14" s="90"/>
      <c r="C14" s="98" t="s">
        <v>32</v>
      </c>
      <c r="E14" s="60"/>
      <c r="F14" s="376">
        <v>953</v>
      </c>
      <c r="G14" s="373"/>
      <c r="H14" s="376">
        <v>880</v>
      </c>
      <c r="I14" s="363"/>
      <c r="J14" s="361">
        <v>-0.08</v>
      </c>
    </row>
    <row r="15" spans="2:10" s="33" customFormat="1" ht="18" customHeight="1" x14ac:dyDescent="0.25">
      <c r="B15" s="90"/>
      <c r="C15" s="98" t="s">
        <v>33</v>
      </c>
      <c r="E15" s="60"/>
      <c r="F15" s="376">
        <v>10</v>
      </c>
      <c r="G15" s="373"/>
      <c r="H15" s="376">
        <v>-7</v>
      </c>
      <c r="I15" s="363"/>
      <c r="J15" s="361" t="s">
        <v>8</v>
      </c>
    </row>
    <row r="16" spans="2:10" s="33" customFormat="1" ht="18" customHeight="1" x14ac:dyDescent="0.25">
      <c r="B16" s="90"/>
      <c r="C16" s="98" t="s">
        <v>34</v>
      </c>
      <c r="E16" s="60"/>
      <c r="F16" s="376">
        <v>-94</v>
      </c>
      <c r="G16" s="373"/>
      <c r="H16" s="376">
        <v>-222</v>
      </c>
      <c r="I16" s="363"/>
      <c r="J16" s="361" t="s">
        <v>8</v>
      </c>
    </row>
    <row r="17" spans="2:10" s="33" customFormat="1" ht="18" customHeight="1" x14ac:dyDescent="0.25">
      <c r="B17" s="90"/>
      <c r="C17" s="98" t="s">
        <v>35</v>
      </c>
      <c r="E17" s="60"/>
      <c r="F17" s="376">
        <v>-2</v>
      </c>
      <c r="G17" s="373"/>
      <c r="H17" s="376">
        <v>-2</v>
      </c>
      <c r="I17" s="363"/>
      <c r="J17" s="361" t="s">
        <v>36</v>
      </c>
    </row>
    <row r="18" spans="2:10" s="33" customFormat="1" ht="18" customHeight="1" x14ac:dyDescent="0.25">
      <c r="B18" s="90"/>
      <c r="C18" s="98" t="s">
        <v>37</v>
      </c>
      <c r="E18" s="60"/>
      <c r="F18" s="372">
        <v>398</v>
      </c>
      <c r="G18" s="373"/>
      <c r="H18" s="372">
        <v>-348</v>
      </c>
      <c r="I18" s="363"/>
      <c r="J18" s="361" t="s">
        <v>8</v>
      </c>
    </row>
    <row r="19" spans="2:10" s="33" customFormat="1" ht="18" customHeight="1" x14ac:dyDescent="0.25">
      <c r="B19" s="90"/>
      <c r="C19" s="98"/>
      <c r="D19" s="33" t="s">
        <v>38</v>
      </c>
      <c r="E19" s="60"/>
      <c r="F19" s="377">
        <v>6198</v>
      </c>
      <c r="G19" s="373"/>
      <c r="H19" s="377">
        <v>4736</v>
      </c>
      <c r="I19" s="363"/>
      <c r="J19" s="361">
        <v>-0.24</v>
      </c>
    </row>
    <row r="20" spans="2:10" s="54" customFormat="1" ht="18" customHeight="1" x14ac:dyDescent="0.25">
      <c r="B20" s="90"/>
      <c r="C20" s="90"/>
      <c r="D20" s="54" t="s">
        <v>9</v>
      </c>
      <c r="E20" s="169"/>
      <c r="F20" s="378">
        <v>17017</v>
      </c>
      <c r="G20" s="379"/>
      <c r="H20" s="378">
        <v>18006</v>
      </c>
      <c r="I20" s="380"/>
      <c r="J20" s="359">
        <v>0.06</v>
      </c>
    </row>
    <row r="21" spans="2:10" s="54" customFormat="1" ht="18" customHeight="1" x14ac:dyDescent="0.25">
      <c r="B21" s="90"/>
      <c r="C21" s="90"/>
      <c r="E21" s="169"/>
      <c r="F21" s="381"/>
      <c r="G21" s="379"/>
      <c r="H21" s="381"/>
      <c r="I21" s="380"/>
      <c r="J21" s="361"/>
    </row>
    <row r="22" spans="2:10" s="54" customFormat="1" ht="18" customHeight="1" x14ac:dyDescent="0.25">
      <c r="B22" s="90"/>
      <c r="C22" s="90"/>
      <c r="E22" s="169"/>
      <c r="F22" s="381"/>
      <c r="G22" s="379"/>
      <c r="H22" s="381"/>
      <c r="I22" s="380"/>
      <c r="J22" s="361"/>
    </row>
    <row r="23" spans="2:10" s="33" customFormat="1" ht="18" customHeight="1" x14ac:dyDescent="0.25">
      <c r="B23" s="90" t="s">
        <v>39</v>
      </c>
      <c r="C23" s="98"/>
      <c r="E23" s="60"/>
      <c r="F23" s="382"/>
      <c r="G23" s="373"/>
      <c r="H23" s="382"/>
      <c r="I23" s="363"/>
      <c r="J23" s="361"/>
    </row>
    <row r="24" spans="2:10" s="33" customFormat="1" ht="18" customHeight="1" x14ac:dyDescent="0.25">
      <c r="B24" s="90"/>
      <c r="C24" s="98" t="s">
        <v>11</v>
      </c>
      <c r="E24" s="60"/>
      <c r="F24" s="382">
        <v>866</v>
      </c>
      <c r="G24" s="360"/>
      <c r="H24" s="382">
        <v>1180</v>
      </c>
      <c r="I24" s="363"/>
      <c r="J24" s="361">
        <v>0.36</v>
      </c>
    </row>
    <row r="25" spans="2:10" s="33" customFormat="1" ht="18" customHeight="1" x14ac:dyDescent="0.25">
      <c r="B25" s="90"/>
      <c r="C25" s="98" t="s">
        <v>40</v>
      </c>
      <c r="E25" s="60"/>
      <c r="F25" s="383">
        <v>-1176</v>
      </c>
      <c r="G25" s="360"/>
      <c r="H25" s="383">
        <v>593</v>
      </c>
      <c r="I25" s="363"/>
      <c r="J25" s="361" t="s">
        <v>8</v>
      </c>
    </row>
    <row r="26" spans="2:10" s="33" customFormat="1" ht="18" customHeight="1" x14ac:dyDescent="0.25">
      <c r="B26" s="90"/>
      <c r="C26" s="98" t="s">
        <v>41</v>
      </c>
      <c r="E26" s="60"/>
      <c r="F26" s="376">
        <v>-310</v>
      </c>
      <c r="G26" s="373"/>
      <c r="H26" s="376">
        <v>1773</v>
      </c>
      <c r="I26" s="363"/>
      <c r="J26" s="361" t="s">
        <v>8</v>
      </c>
    </row>
    <row r="27" spans="2:10" s="33" customFormat="1" ht="18" customHeight="1" x14ac:dyDescent="0.25">
      <c r="B27" s="90"/>
      <c r="C27" s="98" t="s">
        <v>42</v>
      </c>
      <c r="E27" s="60"/>
      <c r="F27" s="376">
        <v>14</v>
      </c>
      <c r="G27" s="373"/>
      <c r="H27" s="376">
        <v>5</v>
      </c>
      <c r="I27" s="363"/>
      <c r="J27" s="361">
        <v>-0.64</v>
      </c>
    </row>
    <row r="28" spans="2:10" s="33" customFormat="1" ht="18" customHeight="1" x14ac:dyDescent="0.25">
      <c r="B28" s="90"/>
      <c r="C28" s="98" t="s">
        <v>43</v>
      </c>
      <c r="E28" s="60"/>
      <c r="F28" s="376">
        <v>-3</v>
      </c>
      <c r="G28" s="373"/>
      <c r="H28" s="376">
        <v>0</v>
      </c>
      <c r="I28" s="363"/>
      <c r="J28" s="361">
        <v>1</v>
      </c>
    </row>
    <row r="29" spans="2:10" s="33" customFormat="1" ht="18" customHeight="1" x14ac:dyDescent="0.25">
      <c r="B29" s="90"/>
      <c r="C29" s="98" t="s">
        <v>44</v>
      </c>
      <c r="E29" s="60"/>
      <c r="F29" s="376">
        <v>27</v>
      </c>
      <c r="G29" s="373"/>
      <c r="H29" s="376">
        <v>20</v>
      </c>
      <c r="I29" s="363"/>
      <c r="J29" s="361">
        <v>-0.26</v>
      </c>
    </row>
    <row r="30" spans="2:10" s="33" customFormat="1" ht="18" customHeight="1" x14ac:dyDescent="0.25">
      <c r="B30" s="90"/>
      <c r="C30" s="98" t="s">
        <v>45</v>
      </c>
      <c r="E30" s="60"/>
      <c r="F30" s="376">
        <v>-193</v>
      </c>
      <c r="G30" s="373"/>
      <c r="H30" s="376">
        <v>47</v>
      </c>
      <c r="I30" s="363"/>
      <c r="J30" s="361" t="s">
        <v>8</v>
      </c>
    </row>
    <row r="31" spans="2:10" s="33" customFormat="1" ht="18" customHeight="1" x14ac:dyDescent="0.25">
      <c r="B31" s="90"/>
      <c r="C31" s="90"/>
      <c r="D31" s="54" t="s">
        <v>46</v>
      </c>
      <c r="E31" s="169"/>
      <c r="F31" s="378">
        <v>-465</v>
      </c>
      <c r="G31" s="379"/>
      <c r="H31" s="378">
        <v>1845</v>
      </c>
      <c r="I31" s="380"/>
      <c r="J31" s="359" t="s">
        <v>8</v>
      </c>
    </row>
    <row r="32" spans="2:10" s="33" customFormat="1" ht="18" customHeight="1" x14ac:dyDescent="0.25">
      <c r="B32" s="90"/>
      <c r="C32" s="98"/>
      <c r="E32" s="60"/>
      <c r="F32" s="382"/>
      <c r="G32" s="360"/>
      <c r="H32" s="382"/>
      <c r="I32" s="360"/>
      <c r="J32" s="362"/>
    </row>
    <row r="33" spans="2:10" s="33" customFormat="1" ht="18" customHeight="1" x14ac:dyDescent="0.25">
      <c r="B33" s="90" t="s">
        <v>47</v>
      </c>
      <c r="C33" s="98"/>
      <c r="E33" s="60"/>
      <c r="F33" s="384"/>
      <c r="G33" s="373"/>
      <c r="H33" s="384"/>
      <c r="I33" s="363"/>
      <c r="J33" s="361"/>
    </row>
    <row r="34" spans="2:10" s="33" customFormat="1" ht="18" x14ac:dyDescent="0.25">
      <c r="B34" s="90"/>
      <c r="C34" s="98" t="s">
        <v>48</v>
      </c>
      <c r="E34" s="60"/>
      <c r="F34" s="376">
        <v>7093</v>
      </c>
      <c r="G34" s="373"/>
      <c r="H34" s="376">
        <v>6618</v>
      </c>
      <c r="I34" s="363"/>
      <c r="J34" s="361">
        <v>-7.0000000000000007E-2</v>
      </c>
    </row>
    <row r="35" spans="2:10" s="33" customFormat="1" ht="18" customHeight="1" x14ac:dyDescent="0.25">
      <c r="B35" s="90"/>
      <c r="C35" s="98" t="s">
        <v>49</v>
      </c>
      <c r="E35" s="60"/>
      <c r="F35" s="376">
        <v>620</v>
      </c>
      <c r="G35" s="373"/>
      <c r="H35" s="376">
        <v>601</v>
      </c>
      <c r="I35" s="363"/>
      <c r="J35" s="361">
        <v>-0.03</v>
      </c>
    </row>
    <row r="36" spans="2:10" s="33" customFormat="1" ht="18" customHeight="1" x14ac:dyDescent="0.25">
      <c r="B36" s="90"/>
      <c r="C36" s="98" t="s">
        <v>50</v>
      </c>
      <c r="E36" s="60"/>
      <c r="F36" s="376">
        <v>2084</v>
      </c>
      <c r="G36" s="373"/>
      <c r="H36" s="376">
        <v>2358</v>
      </c>
      <c r="I36" s="363"/>
      <c r="J36" s="361">
        <v>0.13</v>
      </c>
    </row>
    <row r="37" spans="2:10" s="33" customFormat="1" ht="18" customHeight="1" x14ac:dyDescent="0.25">
      <c r="B37" s="90"/>
      <c r="C37" s="98" t="s">
        <v>51</v>
      </c>
      <c r="D37" s="98"/>
      <c r="E37" s="60"/>
      <c r="F37" s="376">
        <v>478</v>
      </c>
      <c r="G37" s="373"/>
      <c r="H37" s="376">
        <v>424</v>
      </c>
      <c r="I37" s="363"/>
      <c r="J37" s="361">
        <v>-0.11</v>
      </c>
    </row>
    <row r="38" spans="2:10" s="33" customFormat="1" ht="18" customHeight="1" x14ac:dyDescent="0.25">
      <c r="B38" s="90"/>
      <c r="C38" s="98" t="s">
        <v>52</v>
      </c>
      <c r="E38" s="60"/>
      <c r="F38" s="376">
        <v>3257</v>
      </c>
      <c r="G38" s="373"/>
      <c r="H38" s="376">
        <v>2984</v>
      </c>
      <c r="I38" s="363"/>
      <c r="J38" s="361">
        <v>-0.08</v>
      </c>
    </row>
    <row r="39" spans="2:10" s="33" customFormat="1" ht="18" customHeight="1" x14ac:dyDescent="0.25">
      <c r="B39" s="90"/>
      <c r="C39" s="90"/>
      <c r="D39" s="54" t="s">
        <v>10</v>
      </c>
      <c r="E39" s="169"/>
      <c r="F39" s="378">
        <v>13532</v>
      </c>
      <c r="G39" s="379"/>
      <c r="H39" s="378">
        <v>12985</v>
      </c>
      <c r="I39" s="380"/>
      <c r="J39" s="359">
        <v>-0.04</v>
      </c>
    </row>
    <row r="40" spans="2:10" s="33" customFormat="1" ht="18" customHeight="1" x14ac:dyDescent="0.25">
      <c r="B40" s="90"/>
      <c r="C40" s="98"/>
      <c r="E40" s="60"/>
      <c r="F40" s="377"/>
      <c r="G40" s="373"/>
      <c r="H40" s="377"/>
      <c r="I40" s="363"/>
      <c r="J40" s="361"/>
    </row>
    <row r="41" spans="2:10" s="33" customFormat="1" ht="9" customHeight="1" x14ac:dyDescent="0.25">
      <c r="B41" s="90"/>
      <c r="C41" s="98"/>
      <c r="E41" s="60"/>
      <c r="F41" s="384"/>
      <c r="G41" s="373"/>
      <c r="H41" s="384"/>
      <c r="I41" s="363"/>
      <c r="J41" s="361"/>
    </row>
    <row r="42" spans="2:10" s="33" customFormat="1" ht="18" customHeight="1" x14ac:dyDescent="0.25">
      <c r="B42" s="90" t="s">
        <v>15</v>
      </c>
      <c r="C42" s="90"/>
      <c r="E42" s="60"/>
      <c r="F42" s="377">
        <v>3950</v>
      </c>
      <c r="G42" s="373"/>
      <c r="H42" s="377">
        <v>3176</v>
      </c>
      <c r="I42" s="363"/>
      <c r="J42" s="361">
        <v>-0.2</v>
      </c>
    </row>
    <row r="43" spans="2:10" s="33" customFormat="1" ht="18" customHeight="1" x14ac:dyDescent="0.25">
      <c r="B43" s="98" t="s">
        <v>53</v>
      </c>
      <c r="C43" s="98"/>
      <c r="E43" s="60"/>
      <c r="F43" s="372">
        <v>771</v>
      </c>
      <c r="G43" s="373"/>
      <c r="H43" s="372">
        <v>640</v>
      </c>
      <c r="I43" s="363"/>
      <c r="J43" s="361">
        <v>-0.17</v>
      </c>
    </row>
    <row r="44" spans="2:10" s="33" customFormat="1" ht="18" customHeight="1" x14ac:dyDescent="0.25">
      <c r="B44" s="90"/>
      <c r="C44" s="98"/>
      <c r="E44" s="60"/>
      <c r="F44" s="377"/>
      <c r="G44" s="373"/>
      <c r="H44" s="377"/>
      <c r="I44" s="363"/>
      <c r="J44" s="361"/>
    </row>
    <row r="45" spans="2:10" s="54" customFormat="1" ht="18" customHeight="1" x14ac:dyDescent="0.25">
      <c r="B45" s="90" t="s">
        <v>54</v>
      </c>
      <c r="C45" s="90"/>
      <c r="E45" s="169"/>
      <c r="F45" s="385">
        <v>3179</v>
      </c>
      <c r="G45" s="379"/>
      <c r="H45" s="385">
        <v>2536</v>
      </c>
      <c r="I45" s="380"/>
      <c r="J45" s="359">
        <v>-0.2</v>
      </c>
    </row>
    <row r="46" spans="2:10" s="33" customFormat="1" ht="21.75" customHeight="1" x14ac:dyDescent="0.25">
      <c r="B46" s="90" t="s">
        <v>55</v>
      </c>
      <c r="C46" s="90"/>
      <c r="E46" s="60"/>
      <c r="F46" s="377"/>
      <c r="G46" s="373"/>
      <c r="H46" s="377"/>
      <c r="I46" s="363"/>
      <c r="J46" s="361"/>
    </row>
    <row r="47" spans="2:10" s="33" customFormat="1" ht="18" customHeight="1" x14ac:dyDescent="0.25">
      <c r="C47" s="98" t="s">
        <v>56</v>
      </c>
      <c r="E47" s="60"/>
      <c r="F47" s="377">
        <v>0</v>
      </c>
      <c r="G47" s="373"/>
      <c r="H47" s="377">
        <v>-2</v>
      </c>
      <c r="I47" s="363"/>
      <c r="J47" s="361" t="s">
        <v>8</v>
      </c>
    </row>
    <row r="48" spans="2:10" s="33" customFormat="1" ht="18" customHeight="1" x14ac:dyDescent="0.25">
      <c r="C48" s="98" t="s">
        <v>57</v>
      </c>
      <c r="E48" s="60"/>
      <c r="F48" s="386">
        <v>0</v>
      </c>
      <c r="G48" s="373"/>
      <c r="H48" s="386">
        <v>0</v>
      </c>
      <c r="I48" s="363"/>
      <c r="J48" s="361" t="s">
        <v>36</v>
      </c>
    </row>
    <row r="49" spans="2:10" s="33" customFormat="1" ht="18" customHeight="1" x14ac:dyDescent="0.25">
      <c r="B49" s="54" t="s">
        <v>58</v>
      </c>
      <c r="C49" s="90"/>
      <c r="E49" s="60"/>
      <c r="F49" s="377">
        <v>0</v>
      </c>
      <c r="G49" s="373"/>
      <c r="H49" s="377">
        <v>-2</v>
      </c>
      <c r="I49" s="363"/>
      <c r="J49" s="361" t="s">
        <v>8</v>
      </c>
    </row>
    <row r="50" spans="2:10" s="33" customFormat="1" ht="18" customHeight="1" x14ac:dyDescent="0.25">
      <c r="B50" s="90"/>
      <c r="C50" s="98"/>
      <c r="E50" s="60"/>
      <c r="F50" s="387"/>
      <c r="G50" s="373"/>
      <c r="H50" s="387"/>
      <c r="I50" s="363"/>
      <c r="J50" s="361"/>
    </row>
    <row r="51" spans="2:10" s="33" customFormat="1" ht="18" customHeight="1" x14ac:dyDescent="0.25">
      <c r="B51" s="98" t="s">
        <v>59</v>
      </c>
      <c r="C51" s="98"/>
      <c r="E51" s="60"/>
      <c r="F51" s="382">
        <v>3179</v>
      </c>
      <c r="G51" s="373"/>
      <c r="H51" s="382">
        <v>2534</v>
      </c>
      <c r="I51" s="363"/>
      <c r="J51" s="361">
        <v>-0.2</v>
      </c>
    </row>
    <row r="52" spans="2:10" s="33" customFormat="1" ht="18" customHeight="1" x14ac:dyDescent="0.25">
      <c r="B52" s="98" t="s">
        <v>60</v>
      </c>
      <c r="C52" s="98"/>
      <c r="E52" s="60"/>
      <c r="F52" s="372">
        <v>6</v>
      </c>
      <c r="G52" s="373"/>
      <c r="H52" s="372">
        <v>21</v>
      </c>
      <c r="I52" s="363"/>
      <c r="J52" s="361" t="s">
        <v>8</v>
      </c>
    </row>
    <row r="53" spans="2:10" s="33" customFormat="1" ht="30.75" customHeight="1" thickBot="1" x14ac:dyDescent="0.3">
      <c r="B53" s="90" t="s">
        <v>20</v>
      </c>
      <c r="C53" s="98"/>
      <c r="E53" s="60"/>
      <c r="F53" s="388">
        <v>3173</v>
      </c>
      <c r="G53" s="379"/>
      <c r="H53" s="388">
        <v>2513</v>
      </c>
      <c r="I53" s="380"/>
      <c r="J53" s="359">
        <v>-0.21</v>
      </c>
    </row>
    <row r="54" spans="2:10" s="33" customFormat="1" ht="18" customHeight="1" thickTop="1" x14ac:dyDescent="0.25">
      <c r="B54" s="90"/>
      <c r="C54" s="98"/>
      <c r="E54" s="60"/>
      <c r="F54" s="389"/>
      <c r="G54" s="379"/>
      <c r="H54" s="389"/>
      <c r="I54" s="380"/>
      <c r="J54" s="361"/>
    </row>
    <row r="55" spans="2:10" s="33" customFormat="1" ht="18" customHeight="1" thickBot="1" x14ac:dyDescent="0.3">
      <c r="B55" s="129"/>
      <c r="C55" s="130"/>
      <c r="D55" s="131"/>
      <c r="E55" s="131"/>
      <c r="F55" s="364"/>
      <c r="G55" s="364"/>
      <c r="H55" s="364"/>
      <c r="I55" s="364"/>
      <c r="J55" s="390"/>
    </row>
    <row r="56" spans="2:10" s="33" customFormat="1" ht="18" customHeight="1" thickTop="1" x14ac:dyDescent="0.25">
      <c r="B56" s="90"/>
      <c r="C56" s="98"/>
      <c r="D56" s="157"/>
      <c r="E56" s="60"/>
      <c r="F56" s="384"/>
      <c r="G56" s="373"/>
      <c r="H56" s="382"/>
      <c r="I56" s="363"/>
      <c r="J56" s="361"/>
    </row>
    <row r="57" spans="2:10" s="33" customFormat="1" ht="18" customHeight="1" x14ac:dyDescent="0.25">
      <c r="B57" s="106" t="s">
        <v>61</v>
      </c>
      <c r="C57" s="2" t="s">
        <v>62</v>
      </c>
      <c r="D57" s="157"/>
      <c r="E57" s="60"/>
      <c r="F57" s="384"/>
      <c r="G57" s="373"/>
      <c r="H57" s="384"/>
      <c r="I57" s="363"/>
      <c r="J57" s="361"/>
    </row>
    <row r="58" spans="2:10" s="33" customFormat="1" ht="18" customHeight="1" x14ac:dyDescent="0.25">
      <c r="B58" s="106" t="s">
        <v>63</v>
      </c>
      <c r="C58" s="88" t="s">
        <v>64</v>
      </c>
      <c r="D58" s="157"/>
      <c r="E58" s="60"/>
      <c r="F58" s="384"/>
      <c r="G58" s="373"/>
      <c r="H58" s="384"/>
      <c r="I58" s="363"/>
      <c r="J58" s="361"/>
    </row>
    <row r="59" spans="2:10" s="33" customFormat="1" ht="18" customHeight="1" x14ac:dyDescent="0.25">
      <c r="B59" s="106" t="s">
        <v>65</v>
      </c>
      <c r="C59" s="88" t="s">
        <v>66</v>
      </c>
      <c r="D59" s="157"/>
      <c r="E59" s="60"/>
      <c r="F59" s="384"/>
      <c r="G59" s="373"/>
      <c r="H59" s="384"/>
      <c r="I59" s="363"/>
      <c r="J59" s="361"/>
    </row>
    <row r="60" spans="2:10" s="33" customFormat="1" ht="18" customHeight="1" x14ac:dyDescent="0.25">
      <c r="B60" s="106" t="s">
        <v>67</v>
      </c>
      <c r="C60" s="2" t="s">
        <v>68</v>
      </c>
      <c r="D60" s="157"/>
      <c r="E60" s="60"/>
      <c r="F60" s="357"/>
      <c r="G60" s="373"/>
      <c r="H60" s="357"/>
      <c r="I60" s="357"/>
      <c r="J60" s="357"/>
    </row>
    <row r="61" spans="2:10" s="33" customFormat="1" ht="18" customHeight="1" x14ac:dyDescent="0.25">
      <c r="B61" s="106" t="s">
        <v>69</v>
      </c>
      <c r="C61" s="2" t="s">
        <v>70</v>
      </c>
      <c r="D61" s="157"/>
      <c r="E61" s="60"/>
      <c r="F61" s="357"/>
      <c r="G61" s="373"/>
      <c r="H61" s="357"/>
      <c r="I61" s="357"/>
      <c r="J61" s="357"/>
    </row>
    <row r="62" spans="2:10" s="33" customFormat="1" ht="18" customHeight="1" x14ac:dyDescent="0.25">
      <c r="B62" s="106"/>
      <c r="C62" s="2"/>
      <c r="D62" s="157"/>
      <c r="E62" s="60"/>
      <c r="F62" s="357"/>
      <c r="G62" s="373"/>
      <c r="H62" s="357"/>
      <c r="I62" s="357"/>
      <c r="J62" s="357"/>
    </row>
    <row r="63" spans="2:10" s="33" customFormat="1" ht="22.5" customHeight="1" x14ac:dyDescent="0.25">
      <c r="B63" s="33" t="s">
        <v>71</v>
      </c>
      <c r="F63" s="357"/>
      <c r="G63" s="357"/>
      <c r="H63" s="357"/>
      <c r="I63" s="357"/>
      <c r="J63" s="357"/>
    </row>
    <row r="64" spans="2:10" s="33" customFormat="1" ht="18" customHeight="1" x14ac:dyDescent="0.25">
      <c r="B64" s="33" t="s">
        <v>72</v>
      </c>
      <c r="F64" s="357"/>
      <c r="G64" s="357"/>
      <c r="H64" s="357"/>
      <c r="I64" s="357"/>
      <c r="J64" s="357"/>
    </row>
    <row r="65" spans="4:10" s="33" customFormat="1" ht="18" x14ac:dyDescent="0.25">
      <c r="F65" s="357"/>
      <c r="G65" s="357"/>
      <c r="H65" s="357"/>
      <c r="I65" s="357"/>
      <c r="J65" s="357"/>
    </row>
    <row r="66" spans="4:10" s="33" customFormat="1" ht="18" x14ac:dyDescent="0.25">
      <c r="F66" s="357"/>
      <c r="G66" s="357"/>
      <c r="H66" s="357"/>
      <c r="I66" s="357"/>
      <c r="J66" s="357"/>
    </row>
    <row r="67" spans="4:10" s="33" customFormat="1" ht="18" x14ac:dyDescent="0.25">
      <c r="D67" s="189"/>
      <c r="F67" s="357"/>
      <c r="G67" s="357"/>
      <c r="H67" s="357"/>
      <c r="I67" s="357"/>
      <c r="J67" s="357"/>
    </row>
    <row r="68" spans="4:10" s="33" customFormat="1" ht="18" x14ac:dyDescent="0.25">
      <c r="D68" s="189"/>
      <c r="F68" s="357"/>
      <c r="G68" s="357"/>
      <c r="H68" s="357"/>
      <c r="I68" s="357"/>
      <c r="J68" s="357"/>
    </row>
  </sheetData>
  <pageMargins left="0" right="0" top="0.06" bottom="0.06" header="0" footer="0"/>
  <pageSetup scale="42" orientation="landscape" r:id="rId1"/>
  <headerFooter alignWithMargins="0">
    <oddFooter>&amp;R&amp;"Times New Roman,Bold"&amp;18Page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9"/>
  <sheetViews>
    <sheetView showGridLines="0" zoomScale="80" workbookViewId="0">
      <pane xSplit="5" ySplit="6" topLeftCell="F7" activePane="bottomRight" state="frozen"/>
      <selection activeCell="E25" sqref="E25"/>
      <selection pane="topRight" activeCell="E25" sqref="E25"/>
      <selection pane="bottomLeft" activeCell="E25" sqref="E25"/>
      <selection pane="bottomRight" activeCell="F6" sqref="F6"/>
    </sheetView>
  </sheetViews>
  <sheetFormatPr defaultRowHeight="15" x14ac:dyDescent="0.2"/>
  <cols>
    <col min="1" max="3" width="4.83203125" style="19" customWidth="1"/>
    <col min="4" max="4" width="102.83203125" style="19" customWidth="1"/>
    <col min="5" max="5" width="2.83203125" style="19" customWidth="1"/>
    <col min="6" max="6" width="22.83203125" style="19" customWidth="1"/>
    <col min="7" max="7" width="2.83203125" style="82" customWidth="1"/>
    <col min="8" max="8" width="20.6640625" style="82" customWidth="1"/>
    <col min="9" max="9" width="2.83203125" style="82" customWidth="1"/>
    <col min="10" max="10" width="22.83203125" style="19" customWidth="1"/>
    <col min="11" max="11" width="0.83203125" style="19" customWidth="1"/>
    <col min="12" max="16384" width="9.33203125" style="19"/>
  </cols>
  <sheetData>
    <row r="1" spans="2:11" ht="18" customHeight="1" x14ac:dyDescent="0.2"/>
    <row r="2" spans="2:11" ht="20.100000000000001" customHeight="1" x14ac:dyDescent="0.3">
      <c r="B2" s="34" t="s">
        <v>73</v>
      </c>
      <c r="C2" s="83"/>
      <c r="D2" s="83"/>
      <c r="E2" s="83"/>
      <c r="F2" s="84"/>
      <c r="G2" s="84"/>
      <c r="H2" s="84"/>
      <c r="I2" s="84"/>
      <c r="J2" s="84"/>
      <c r="K2" s="84"/>
    </row>
    <row r="3" spans="2:11" ht="18" customHeight="1" x14ac:dyDescent="0.25">
      <c r="B3" s="123" t="s">
        <v>25</v>
      </c>
      <c r="C3" s="83"/>
      <c r="D3" s="83"/>
      <c r="E3" s="83"/>
      <c r="F3" s="84"/>
      <c r="G3" s="84"/>
      <c r="H3" s="188"/>
      <c r="I3" s="86"/>
      <c r="J3" s="86"/>
      <c r="K3" s="86"/>
    </row>
    <row r="4" spans="2:11" ht="18" customHeight="1" x14ac:dyDescent="0.25">
      <c r="B4" s="84"/>
      <c r="C4" s="84"/>
      <c r="H4" s="188"/>
      <c r="I4" s="12"/>
      <c r="J4" s="140"/>
      <c r="K4" s="8"/>
    </row>
    <row r="5" spans="2:11" ht="18" customHeight="1" x14ac:dyDescent="0.25">
      <c r="B5" s="84"/>
      <c r="C5" s="84"/>
      <c r="H5" s="188"/>
      <c r="I5" s="12"/>
      <c r="J5" s="140"/>
      <c r="K5" s="8"/>
    </row>
    <row r="6" spans="2:11" s="12" customFormat="1" ht="72" x14ac:dyDescent="0.25">
      <c r="E6" s="14"/>
      <c r="F6" s="355" t="s">
        <v>2</v>
      </c>
      <c r="G6" s="355"/>
      <c r="H6" s="355" t="s">
        <v>1</v>
      </c>
      <c r="I6" s="40"/>
      <c r="J6" s="356" t="s">
        <v>3</v>
      </c>
      <c r="K6" s="45"/>
    </row>
    <row r="7" spans="2:11" s="12" customFormat="1" ht="18" customHeight="1" x14ac:dyDescent="0.25">
      <c r="B7" s="171" t="s">
        <v>74</v>
      </c>
      <c r="C7" s="8"/>
      <c r="D7" s="8"/>
      <c r="E7" s="125"/>
      <c r="F7" s="100"/>
      <c r="G7" s="119"/>
      <c r="H7" s="100"/>
      <c r="I7" s="60"/>
      <c r="J7" s="15"/>
      <c r="K7" s="8"/>
    </row>
    <row r="8" spans="2:11" s="12" customFormat="1" ht="18" customHeight="1" x14ac:dyDescent="0.25">
      <c r="B8" s="172" t="s">
        <v>75</v>
      </c>
      <c r="C8" s="41"/>
      <c r="D8" s="62"/>
      <c r="E8" s="125"/>
      <c r="F8" s="52">
        <v>27515</v>
      </c>
      <c r="G8" s="119"/>
      <c r="H8" s="52">
        <v>30577</v>
      </c>
      <c r="I8" s="60"/>
      <c r="J8" s="15">
        <v>0.11</v>
      </c>
      <c r="K8" s="8"/>
    </row>
    <row r="9" spans="2:11" s="12" customFormat="1" ht="18" customHeight="1" x14ac:dyDescent="0.25">
      <c r="B9" s="172" t="s">
        <v>76</v>
      </c>
      <c r="C9" s="53"/>
      <c r="D9" s="8"/>
      <c r="E9" s="125"/>
      <c r="F9" s="49">
        <v>234518</v>
      </c>
      <c r="G9" s="119"/>
      <c r="H9" s="49">
        <v>311448</v>
      </c>
      <c r="I9" s="60"/>
      <c r="J9" s="15">
        <v>0.33</v>
      </c>
      <c r="K9" s="8"/>
    </row>
    <row r="10" spans="2:11" s="12" customFormat="1" ht="18" customHeight="1" x14ac:dyDescent="0.25">
      <c r="B10" s="111" t="s">
        <v>77</v>
      </c>
      <c r="C10" s="53"/>
      <c r="D10" s="8"/>
      <c r="E10" s="125"/>
      <c r="F10" s="49">
        <v>327288</v>
      </c>
      <c r="G10" s="119"/>
      <c r="H10" s="49">
        <v>365401</v>
      </c>
      <c r="I10" s="60"/>
      <c r="J10" s="15">
        <v>0.12</v>
      </c>
      <c r="K10" s="8"/>
    </row>
    <row r="11" spans="2:11" s="12" customFormat="1" ht="18" customHeight="1" x14ac:dyDescent="0.25">
      <c r="B11" s="173" t="s">
        <v>78</v>
      </c>
      <c r="C11" s="41"/>
      <c r="D11" s="8"/>
      <c r="E11" s="125"/>
      <c r="F11" s="49">
        <v>54340</v>
      </c>
      <c r="G11" s="119"/>
      <c r="H11" s="49">
        <v>54192</v>
      </c>
      <c r="I11" s="60"/>
      <c r="J11" s="15" t="s">
        <v>36</v>
      </c>
      <c r="K11" s="8"/>
    </row>
    <row r="12" spans="2:11" s="12" customFormat="1" ht="18" customHeight="1" x14ac:dyDescent="0.25">
      <c r="B12" s="172" t="s">
        <v>79</v>
      </c>
      <c r="C12" s="41"/>
      <c r="D12" s="62"/>
      <c r="E12" s="125"/>
      <c r="F12" s="49">
        <v>331945</v>
      </c>
      <c r="G12" s="119"/>
      <c r="H12" s="49">
        <v>334114</v>
      </c>
      <c r="I12" s="60"/>
      <c r="J12" s="15">
        <v>0.01</v>
      </c>
      <c r="K12" s="8"/>
    </row>
    <row r="13" spans="2:11" s="12" customFormat="1" ht="18" customHeight="1" x14ac:dyDescent="0.25">
      <c r="B13" s="172" t="s">
        <v>80</v>
      </c>
      <c r="C13" s="41"/>
      <c r="D13" s="62"/>
      <c r="E13" s="125"/>
      <c r="F13" s="49"/>
      <c r="G13" s="119"/>
      <c r="H13" s="49"/>
      <c r="I13" s="60"/>
      <c r="J13" s="15"/>
      <c r="K13" s="8"/>
    </row>
    <row r="14" spans="2:11" s="12" customFormat="1" ht="18" customHeight="1" x14ac:dyDescent="0.25">
      <c r="B14" s="172"/>
      <c r="C14" s="40" t="s">
        <v>81</v>
      </c>
      <c r="D14" s="8"/>
      <c r="E14" s="125"/>
      <c r="F14" s="49">
        <v>288522</v>
      </c>
      <c r="G14" s="119"/>
      <c r="H14" s="49">
        <v>249679</v>
      </c>
      <c r="I14" s="60"/>
      <c r="J14" s="15">
        <v>-0.13</v>
      </c>
      <c r="K14" s="8"/>
    </row>
    <row r="15" spans="2:11" s="12" customFormat="1" ht="18" customHeight="1" x14ac:dyDescent="0.25">
      <c r="B15" s="172"/>
      <c r="C15" s="40" t="s">
        <v>82</v>
      </c>
      <c r="D15" s="8"/>
      <c r="E15" s="125"/>
      <c r="F15" s="23">
        <v>216963</v>
      </c>
      <c r="G15" s="119"/>
      <c r="H15" s="23">
        <v>268863</v>
      </c>
      <c r="I15" s="60"/>
      <c r="J15" s="15">
        <v>0.24</v>
      </c>
      <c r="K15" s="8"/>
    </row>
    <row r="16" spans="2:11" s="12" customFormat="1" ht="18" customHeight="1" x14ac:dyDescent="0.25">
      <c r="B16" s="172"/>
      <c r="C16" s="40" t="s">
        <v>83</v>
      </c>
      <c r="D16" s="8"/>
      <c r="E16" s="125"/>
      <c r="F16" s="65">
        <v>7337</v>
      </c>
      <c r="G16" s="119"/>
      <c r="H16" s="65">
        <v>8040</v>
      </c>
      <c r="I16" s="60"/>
      <c r="J16" s="15">
        <v>0.1</v>
      </c>
      <c r="K16" s="8"/>
    </row>
    <row r="17" spans="2:11" s="12" customFormat="1" ht="18" customHeight="1" x14ac:dyDescent="0.25">
      <c r="B17" s="172" t="s">
        <v>84</v>
      </c>
      <c r="C17" s="53"/>
      <c r="D17" s="8"/>
      <c r="E17" s="125"/>
      <c r="F17" s="23">
        <v>512822</v>
      </c>
      <c r="G17" s="119"/>
      <c r="H17" s="23">
        <v>526582</v>
      </c>
      <c r="I17" s="60"/>
      <c r="J17" s="15">
        <v>0.03</v>
      </c>
      <c r="K17" s="8"/>
    </row>
    <row r="18" spans="2:11" s="12" customFormat="1" ht="18" customHeight="1" x14ac:dyDescent="0.25">
      <c r="B18" s="172" t="s">
        <v>85</v>
      </c>
      <c r="C18" s="53"/>
      <c r="D18" s="8"/>
      <c r="E18" s="125"/>
      <c r="F18" s="49"/>
      <c r="G18" s="119"/>
      <c r="H18" s="49"/>
      <c r="I18" s="60"/>
      <c r="J18" s="15"/>
      <c r="K18" s="8"/>
    </row>
    <row r="19" spans="2:11" s="12" customFormat="1" ht="18" customHeight="1" x14ac:dyDescent="0.25">
      <c r="B19" s="173" t="s">
        <v>86</v>
      </c>
      <c r="C19" s="41"/>
      <c r="D19" s="8"/>
      <c r="E19" s="125"/>
      <c r="F19" s="49">
        <v>376534</v>
      </c>
      <c r="G19" s="119"/>
      <c r="H19" s="49">
        <v>368067</v>
      </c>
      <c r="I19" s="60"/>
      <c r="J19" s="15">
        <v>-0.02</v>
      </c>
      <c r="K19" s="125"/>
    </row>
    <row r="20" spans="2:11" s="12" customFormat="1" ht="18" customHeight="1" x14ac:dyDescent="0.25">
      <c r="B20" s="173" t="s">
        <v>87</v>
      </c>
      <c r="C20" s="41"/>
      <c r="D20" s="41"/>
      <c r="E20" s="125"/>
      <c r="F20" s="51">
        <v>291233</v>
      </c>
      <c r="G20" s="119"/>
      <c r="H20" s="51">
        <v>289154</v>
      </c>
      <c r="I20" s="60"/>
      <c r="J20" s="15">
        <v>-0.01</v>
      </c>
      <c r="K20" s="125"/>
    </row>
    <row r="21" spans="2:11" s="12" customFormat="1" ht="18" customHeight="1" x14ac:dyDescent="0.25">
      <c r="B21" s="172" t="s">
        <v>85</v>
      </c>
      <c r="C21" s="53"/>
      <c r="D21" s="40"/>
      <c r="E21" s="125"/>
      <c r="F21" s="49">
        <v>667767</v>
      </c>
      <c r="G21" s="119"/>
      <c r="H21" s="49">
        <v>657221</v>
      </c>
      <c r="I21" s="60"/>
      <c r="J21" s="15">
        <v>-0.02</v>
      </c>
      <c r="K21" s="125"/>
    </row>
    <row r="22" spans="2:11" s="12" customFormat="1" ht="18" customHeight="1" x14ac:dyDescent="0.25">
      <c r="B22" s="172" t="s">
        <v>88</v>
      </c>
      <c r="C22" s="53"/>
      <c r="D22" s="8"/>
      <c r="E22" s="125"/>
      <c r="F22" s="51">
        <v>-16455</v>
      </c>
      <c r="G22" s="119"/>
      <c r="H22" s="51">
        <v>-16974</v>
      </c>
      <c r="I22" s="60"/>
      <c r="J22" s="15">
        <v>-0.03</v>
      </c>
      <c r="K22" s="125"/>
    </row>
    <row r="23" spans="2:11" s="12" customFormat="1" ht="18" customHeight="1" x14ac:dyDescent="0.25">
      <c r="B23" s="173" t="s">
        <v>89</v>
      </c>
      <c r="C23" s="53"/>
      <c r="D23" s="40"/>
      <c r="E23" s="125"/>
      <c r="F23" s="110">
        <v>651312</v>
      </c>
      <c r="G23" s="119"/>
      <c r="H23" s="110">
        <v>640247</v>
      </c>
      <c r="I23" s="60"/>
      <c r="J23" s="15">
        <v>-0.02</v>
      </c>
      <c r="K23" s="125"/>
    </row>
    <row r="24" spans="2:11" s="12" customFormat="1" ht="18" customHeight="1" x14ac:dyDescent="0.25">
      <c r="B24" s="174" t="s">
        <v>90</v>
      </c>
      <c r="C24" s="53"/>
      <c r="D24" s="40"/>
      <c r="E24" s="125"/>
      <c r="F24" s="49">
        <v>21299</v>
      </c>
      <c r="G24" s="119"/>
      <c r="H24" s="49">
        <v>19691</v>
      </c>
      <c r="I24" s="60"/>
      <c r="J24" s="15">
        <v>-0.08</v>
      </c>
      <c r="K24" s="125"/>
    </row>
    <row r="25" spans="2:11" s="12" customFormat="1" ht="18" customHeight="1" x14ac:dyDescent="0.25">
      <c r="B25" s="174" t="s">
        <v>91</v>
      </c>
      <c r="C25" s="175"/>
      <c r="D25" s="40"/>
      <c r="E25" s="125"/>
      <c r="F25" s="49">
        <v>4495</v>
      </c>
      <c r="G25" s="119"/>
      <c r="H25" s="49">
        <v>4428</v>
      </c>
      <c r="I25" s="60"/>
      <c r="J25" s="15">
        <v>-0.01</v>
      </c>
      <c r="K25" s="125"/>
    </row>
    <row r="26" spans="2:11" s="12" customFormat="1" ht="18" customHeight="1" x14ac:dyDescent="0.25">
      <c r="B26" s="172" t="s">
        <v>92</v>
      </c>
      <c r="C26" s="41"/>
      <c r="D26" s="41"/>
      <c r="E26" s="125"/>
      <c r="F26" s="49">
        <v>125879</v>
      </c>
      <c r="G26" s="119"/>
      <c r="H26" s="49">
        <v>129996</v>
      </c>
      <c r="I26" s="60"/>
      <c r="J26" s="15">
        <v>0.03</v>
      </c>
      <c r="K26" s="125"/>
    </row>
    <row r="27" spans="2:11" s="12" customFormat="1" ht="21" customHeight="1" thickBot="1" x14ac:dyDescent="0.3">
      <c r="B27" s="171" t="s">
        <v>93</v>
      </c>
      <c r="C27" s="55"/>
      <c r="D27" s="2"/>
      <c r="E27" s="125"/>
      <c r="F27" s="103">
        <v>2291413</v>
      </c>
      <c r="G27" s="119"/>
      <c r="H27" s="103">
        <v>2416676</v>
      </c>
      <c r="I27" s="60"/>
      <c r="J27" s="28">
        <v>0.05</v>
      </c>
      <c r="K27" s="125"/>
    </row>
    <row r="28" spans="2:11" s="12" customFormat="1" ht="18" customHeight="1" thickTop="1" x14ac:dyDescent="0.25">
      <c r="B28" s="8"/>
      <c r="C28" s="55"/>
      <c r="D28" s="171"/>
      <c r="E28" s="125"/>
      <c r="F28" s="60"/>
      <c r="G28" s="119"/>
      <c r="H28" s="60"/>
      <c r="I28" s="60"/>
      <c r="J28" s="15"/>
      <c r="K28" s="125"/>
    </row>
    <row r="29" spans="2:11" s="12" customFormat="1" ht="18" customHeight="1" x14ac:dyDescent="0.25">
      <c r="B29" s="171" t="s">
        <v>94</v>
      </c>
      <c r="C29" s="55"/>
      <c r="D29" s="40"/>
      <c r="E29" s="125"/>
      <c r="F29" s="60"/>
      <c r="G29" s="119"/>
      <c r="H29" s="60"/>
      <c r="I29" s="60"/>
      <c r="J29" s="15"/>
      <c r="K29" s="125"/>
    </row>
    <row r="30" spans="2:11" s="12" customFormat="1" ht="18" customHeight="1" x14ac:dyDescent="0.25">
      <c r="B30" s="2"/>
      <c r="C30" s="172" t="s">
        <v>95</v>
      </c>
      <c r="D30" s="40"/>
      <c r="E30" s="125"/>
      <c r="F30" s="52">
        <v>158552</v>
      </c>
      <c r="G30" s="119"/>
      <c r="H30" s="52">
        <v>122655</v>
      </c>
      <c r="I30" s="60"/>
      <c r="J30" s="15">
        <v>-0.23</v>
      </c>
      <c r="K30" s="125"/>
    </row>
    <row r="31" spans="2:11" s="12" customFormat="1" ht="18" customHeight="1" x14ac:dyDescent="0.25">
      <c r="B31" s="2"/>
      <c r="C31" s="172" t="s">
        <v>96</v>
      </c>
      <c r="D31" s="40"/>
      <c r="E31" s="125"/>
      <c r="F31" s="51">
        <v>543283</v>
      </c>
      <c r="G31" s="119"/>
      <c r="H31" s="51">
        <v>607470</v>
      </c>
      <c r="I31" s="60"/>
      <c r="J31" s="15">
        <v>0.12</v>
      </c>
      <c r="K31" s="125"/>
    </row>
    <row r="32" spans="2:11" s="12" customFormat="1" ht="18" customHeight="1" x14ac:dyDescent="0.25">
      <c r="B32" s="2"/>
      <c r="C32" s="172"/>
      <c r="D32" s="40" t="s">
        <v>97</v>
      </c>
      <c r="E32" s="125"/>
      <c r="F32" s="176">
        <v>701835</v>
      </c>
      <c r="G32" s="119"/>
      <c r="H32" s="176">
        <v>730125</v>
      </c>
      <c r="I32" s="60"/>
      <c r="J32" s="15">
        <v>0.04</v>
      </c>
      <c r="K32" s="125"/>
    </row>
    <row r="33" spans="2:11" s="12" customFormat="1" ht="18" customHeight="1" x14ac:dyDescent="0.25">
      <c r="B33" s="2"/>
      <c r="C33" s="172" t="s">
        <v>98</v>
      </c>
      <c r="D33" s="40"/>
      <c r="E33" s="125"/>
      <c r="F33" s="145">
        <v>97270</v>
      </c>
      <c r="G33" s="119"/>
      <c r="H33" s="145">
        <v>95182</v>
      </c>
      <c r="I33" s="60"/>
      <c r="J33" s="15">
        <v>-0.02</v>
      </c>
      <c r="K33" s="125"/>
    </row>
    <row r="34" spans="2:11" s="12" customFormat="1" ht="18" customHeight="1" x14ac:dyDescent="0.25">
      <c r="B34" s="2"/>
      <c r="C34" s="172" t="s">
        <v>99</v>
      </c>
      <c r="D34" s="40"/>
      <c r="E34" s="125"/>
      <c r="F34" s="51">
        <v>518125</v>
      </c>
      <c r="G34" s="119"/>
      <c r="H34" s="51">
        <v>540647</v>
      </c>
      <c r="I34" s="60"/>
      <c r="J34" s="15">
        <v>0.04</v>
      </c>
      <c r="K34" s="125"/>
    </row>
    <row r="35" spans="2:11" s="12" customFormat="1" ht="18" customHeight="1" x14ac:dyDescent="0.25">
      <c r="B35" s="2"/>
      <c r="C35" s="172"/>
      <c r="D35" s="40" t="s">
        <v>100</v>
      </c>
      <c r="E35" s="125"/>
      <c r="F35" s="176">
        <v>615395</v>
      </c>
      <c r="G35" s="119"/>
      <c r="H35" s="176">
        <v>635829</v>
      </c>
      <c r="I35" s="60"/>
      <c r="J35" s="15">
        <v>0.03</v>
      </c>
      <c r="K35" s="125"/>
    </row>
    <row r="36" spans="2:11" s="12" customFormat="1" ht="18" customHeight="1" x14ac:dyDescent="0.25">
      <c r="B36" s="2"/>
      <c r="C36" s="172"/>
      <c r="D36" s="40"/>
      <c r="E36" s="125"/>
      <c r="F36" s="49"/>
      <c r="G36" s="119"/>
      <c r="H36" s="49"/>
      <c r="I36" s="60"/>
      <c r="J36" s="15"/>
      <c r="K36" s="125"/>
    </row>
    <row r="37" spans="2:11" s="12" customFormat="1" ht="18" customHeight="1" x14ac:dyDescent="0.25">
      <c r="B37" s="173" t="s">
        <v>101</v>
      </c>
      <c r="C37" s="53"/>
      <c r="D37" s="8"/>
      <c r="E37" s="125"/>
      <c r="F37" s="145">
        <v>1317230</v>
      </c>
      <c r="G37" s="119"/>
      <c r="H37" s="145">
        <v>1365954</v>
      </c>
      <c r="I37" s="60"/>
      <c r="J37" s="15">
        <v>0.04</v>
      </c>
      <c r="K37" s="125"/>
    </row>
    <row r="38" spans="2:11" s="12" customFormat="1" ht="18" customHeight="1" x14ac:dyDescent="0.25">
      <c r="B38" s="111" t="s">
        <v>102</v>
      </c>
      <c r="C38" s="53"/>
      <c r="D38" s="8"/>
      <c r="E38" s="125"/>
      <c r="F38" s="49">
        <v>191285</v>
      </c>
      <c r="G38" s="119"/>
      <c r="H38" s="49">
        <v>202444</v>
      </c>
      <c r="I38" s="60"/>
      <c r="J38" s="15">
        <v>0.06</v>
      </c>
      <c r="K38" s="125"/>
    </row>
    <row r="39" spans="2:11" s="12" customFormat="1" ht="18" customHeight="1" x14ac:dyDescent="0.25">
      <c r="B39" s="172" t="s">
        <v>103</v>
      </c>
      <c r="C39" s="41"/>
      <c r="D39" s="40"/>
      <c r="E39" s="125"/>
      <c r="F39" s="49">
        <v>61430</v>
      </c>
      <c r="G39" s="119"/>
      <c r="H39" s="49">
        <v>69218</v>
      </c>
      <c r="I39" s="60"/>
      <c r="J39" s="15">
        <v>0.13</v>
      </c>
      <c r="K39" s="125"/>
    </row>
    <row r="40" spans="2:11" s="12" customFormat="1" ht="18" customHeight="1" x14ac:dyDescent="0.25">
      <c r="B40" s="172" t="s">
        <v>104</v>
      </c>
      <c r="C40" s="40"/>
      <c r="D40" s="40"/>
      <c r="E40" s="125"/>
      <c r="F40" s="49">
        <v>161529</v>
      </c>
      <c r="G40" s="119"/>
      <c r="H40" s="49">
        <v>170647</v>
      </c>
      <c r="I40" s="60"/>
      <c r="J40" s="15">
        <v>0.06</v>
      </c>
      <c r="K40" s="125"/>
    </row>
    <row r="41" spans="2:11" s="12" customFormat="1" ht="18" customHeight="1" x14ac:dyDescent="0.25">
      <c r="B41" s="172" t="s">
        <v>105</v>
      </c>
      <c r="C41" s="62"/>
      <c r="D41" s="40"/>
      <c r="E41" s="125"/>
      <c r="F41" s="49">
        <v>27973</v>
      </c>
      <c r="G41" s="113"/>
      <c r="H41" s="49">
        <v>47096</v>
      </c>
      <c r="I41" s="169"/>
      <c r="J41" s="15">
        <v>0.68</v>
      </c>
      <c r="K41" s="126"/>
    </row>
    <row r="42" spans="2:11" s="12" customFormat="1" ht="18" customHeight="1" x14ac:dyDescent="0.25">
      <c r="B42" s="172" t="s">
        <v>106</v>
      </c>
      <c r="C42" s="40"/>
      <c r="D42" s="40"/>
      <c r="E42" s="125"/>
      <c r="F42" s="49">
        <v>254374</v>
      </c>
      <c r="G42" s="119"/>
      <c r="H42" s="49">
        <v>271606</v>
      </c>
      <c r="I42" s="60"/>
      <c r="J42" s="15">
        <v>7.0000000000000007E-2</v>
      </c>
      <c r="K42" s="125"/>
    </row>
    <row r="43" spans="2:11" s="12" customFormat="1" ht="18" customHeight="1" x14ac:dyDescent="0.25">
      <c r="B43" s="172" t="s">
        <v>107</v>
      </c>
      <c r="C43" s="40"/>
      <c r="D43" s="8"/>
      <c r="E43" s="125"/>
      <c r="F43" s="49">
        <v>74920</v>
      </c>
      <c r="G43" s="119"/>
      <c r="H43" s="49">
        <v>87873</v>
      </c>
      <c r="I43" s="60"/>
      <c r="J43" s="15">
        <v>0.17</v>
      </c>
      <c r="K43" s="125"/>
    </row>
    <row r="44" spans="2:11" s="12" customFormat="1" ht="18" customHeight="1" x14ac:dyDescent="0.25">
      <c r="B44" s="171" t="s">
        <v>108</v>
      </c>
      <c r="C44" s="40"/>
      <c r="D44" s="2"/>
      <c r="E44" s="108"/>
      <c r="F44" s="177">
        <v>2088741</v>
      </c>
      <c r="G44" s="1"/>
      <c r="H44" s="177">
        <v>2214838</v>
      </c>
      <c r="I44" s="33"/>
      <c r="J44" s="28">
        <v>0.06</v>
      </c>
    </row>
    <row r="45" spans="2:11" s="12" customFormat="1" ht="18" customHeight="1" x14ac:dyDescent="0.25">
      <c r="B45" s="172" t="s">
        <v>109</v>
      </c>
      <c r="C45" s="55"/>
      <c r="D45" s="8"/>
      <c r="F45" s="145"/>
      <c r="G45" s="40"/>
      <c r="H45" s="145"/>
      <c r="I45" s="33"/>
      <c r="J45" s="15"/>
    </row>
    <row r="46" spans="2:11" s="12" customFormat="1" ht="18" customHeight="1" x14ac:dyDescent="0.25">
      <c r="B46" s="171" t="s">
        <v>110</v>
      </c>
      <c r="C46" s="55"/>
      <c r="D46" s="8"/>
      <c r="E46" s="125"/>
      <c r="F46" s="49"/>
      <c r="G46" s="119"/>
      <c r="H46" s="49"/>
      <c r="I46" s="60"/>
      <c r="J46" s="15"/>
      <c r="K46" s="125"/>
    </row>
    <row r="47" spans="2:11" s="12" customFormat="1" ht="18" customHeight="1" x14ac:dyDescent="0.25">
      <c r="B47" s="171" t="s">
        <v>111</v>
      </c>
      <c r="C47" s="55"/>
      <c r="D47" s="8"/>
      <c r="E47" s="125"/>
      <c r="F47" s="49"/>
      <c r="G47" s="119"/>
      <c r="H47" s="49"/>
      <c r="I47" s="60"/>
      <c r="J47" s="15"/>
      <c r="K47" s="125"/>
    </row>
    <row r="48" spans="2:11" s="12" customFormat="1" ht="18" customHeight="1" x14ac:dyDescent="0.25">
      <c r="B48" s="172" t="s">
        <v>112</v>
      </c>
      <c r="C48" s="62"/>
      <c r="D48" s="178"/>
      <c r="E48" s="125"/>
      <c r="F48" s="179">
        <v>18995</v>
      </c>
      <c r="G48" s="50"/>
      <c r="H48" s="179">
        <v>18995</v>
      </c>
      <c r="I48" s="58"/>
      <c r="J48" s="15" t="s">
        <v>36</v>
      </c>
      <c r="K48" s="155"/>
    </row>
    <row r="49" spans="2:11" s="12" customFormat="1" ht="25.5" customHeight="1" x14ac:dyDescent="0.25">
      <c r="B49" s="172" t="s">
        <v>113</v>
      </c>
      <c r="C49" s="62"/>
      <c r="D49" s="178"/>
      <c r="E49" s="125"/>
      <c r="F49" s="49">
        <v>31</v>
      </c>
      <c r="G49" s="119"/>
      <c r="H49" s="49">
        <v>31</v>
      </c>
      <c r="I49" s="60"/>
      <c r="J49" s="15" t="s">
        <v>36</v>
      </c>
      <c r="K49" s="125"/>
    </row>
    <row r="50" spans="2:11" s="12" customFormat="1" ht="18" customHeight="1" x14ac:dyDescent="0.25">
      <c r="B50" s="172" t="s">
        <v>114</v>
      </c>
      <c r="C50" s="41"/>
      <c r="D50" s="41"/>
      <c r="E50" s="125"/>
      <c r="F50" s="49">
        <v>108003</v>
      </c>
      <c r="G50" s="119"/>
      <c r="H50" s="49">
        <v>108458</v>
      </c>
      <c r="I50" s="60"/>
      <c r="J50" s="15" t="s">
        <v>36</v>
      </c>
      <c r="K50" s="125"/>
    </row>
    <row r="51" spans="2:11" s="12" customFormat="1" ht="18" customHeight="1" x14ac:dyDescent="0.25">
      <c r="B51" s="172" t="s">
        <v>115</v>
      </c>
      <c r="C51" s="41"/>
      <c r="D51" s="41"/>
      <c r="E51" s="125"/>
      <c r="F51" s="49">
        <v>184948</v>
      </c>
      <c r="G51" s="119"/>
      <c r="H51" s="49">
        <v>194734</v>
      </c>
      <c r="I51" s="60"/>
      <c r="J51" s="15">
        <v>0.05</v>
      </c>
      <c r="K51" s="125"/>
    </row>
    <row r="52" spans="2:11" s="12" customFormat="1" ht="18" customHeight="1" x14ac:dyDescent="0.25">
      <c r="B52" s="172" t="s">
        <v>116</v>
      </c>
      <c r="C52" s="62"/>
      <c r="D52" s="178"/>
      <c r="E52" s="125"/>
      <c r="F52" s="49">
        <v>-71240</v>
      </c>
      <c r="G52" s="119"/>
      <c r="H52" s="49">
        <v>-73967</v>
      </c>
      <c r="I52" s="60"/>
      <c r="J52" s="15">
        <v>-0.04</v>
      </c>
      <c r="K52" s="125"/>
    </row>
    <row r="53" spans="2:11" s="12" customFormat="1" ht="18" customHeight="1" x14ac:dyDescent="0.25">
      <c r="B53" s="172" t="s">
        <v>117</v>
      </c>
      <c r="C53" s="62"/>
      <c r="D53" s="178"/>
      <c r="E53" s="125"/>
      <c r="F53" s="49">
        <v>-38765</v>
      </c>
      <c r="G53" s="119"/>
      <c r="H53" s="49">
        <v>-47062</v>
      </c>
      <c r="I53" s="60"/>
      <c r="J53" s="15">
        <v>-0.21</v>
      </c>
      <c r="K53" s="125"/>
    </row>
    <row r="54" spans="2:11" s="12" customFormat="1" ht="18" customHeight="1" x14ac:dyDescent="0.25">
      <c r="B54" s="171" t="s">
        <v>118</v>
      </c>
      <c r="C54" s="2"/>
      <c r="D54" s="41"/>
      <c r="F54" s="180">
        <v>182977</v>
      </c>
      <c r="G54" s="40"/>
      <c r="H54" s="180">
        <v>182194</v>
      </c>
      <c r="I54" s="33"/>
      <c r="J54" s="28" t="s">
        <v>36</v>
      </c>
    </row>
    <row r="55" spans="2:11" s="12" customFormat="1" ht="18" customHeight="1" x14ac:dyDescent="0.25">
      <c r="B55" s="172"/>
      <c r="C55" s="62"/>
      <c r="D55" s="178"/>
      <c r="E55" s="125"/>
      <c r="F55" s="49"/>
      <c r="G55" s="119"/>
      <c r="H55" s="49"/>
      <c r="I55" s="60"/>
      <c r="J55" s="15"/>
      <c r="K55" s="125"/>
    </row>
    <row r="56" spans="2:11" s="12" customFormat="1" ht="18" customHeight="1" x14ac:dyDescent="0.25">
      <c r="B56" s="171" t="s">
        <v>119</v>
      </c>
      <c r="C56" s="2"/>
      <c r="D56" s="41"/>
      <c r="F56" s="181">
        <v>201972</v>
      </c>
      <c r="G56" s="40"/>
      <c r="H56" s="181">
        <v>201189</v>
      </c>
      <c r="I56" s="33"/>
      <c r="J56" s="28" t="s">
        <v>36</v>
      </c>
    </row>
    <row r="57" spans="2:11" s="12" customFormat="1" ht="18" customHeight="1" x14ac:dyDescent="0.25">
      <c r="B57" s="172" t="s">
        <v>120</v>
      </c>
      <c r="C57" s="62"/>
      <c r="D57" s="178"/>
      <c r="E57" s="125"/>
      <c r="F57" s="49">
        <v>700</v>
      </c>
      <c r="G57" s="119"/>
      <c r="H57" s="49">
        <v>649</v>
      </c>
      <c r="I57" s="60"/>
      <c r="J57" s="15">
        <v>-7.0000000000000007E-2</v>
      </c>
      <c r="K57" s="125"/>
    </row>
    <row r="58" spans="2:11" s="12" customFormat="1" ht="18" customHeight="1" x14ac:dyDescent="0.25">
      <c r="B58" s="171" t="s">
        <v>121</v>
      </c>
      <c r="C58" s="2"/>
      <c r="D58" s="41"/>
      <c r="F58" s="182">
        <v>202672</v>
      </c>
      <c r="G58" s="183"/>
      <c r="H58" s="182">
        <v>201838</v>
      </c>
      <c r="I58" s="33"/>
      <c r="J58" s="28" t="s">
        <v>36</v>
      </c>
    </row>
    <row r="59" spans="2:11" s="12" customFormat="1" ht="20.25" customHeight="1" thickBot="1" x14ac:dyDescent="0.3">
      <c r="B59" s="171" t="s">
        <v>122</v>
      </c>
      <c r="C59" s="184"/>
      <c r="D59" s="2"/>
      <c r="F59" s="103">
        <v>2291413</v>
      </c>
      <c r="G59" s="40"/>
      <c r="H59" s="103">
        <v>2416676</v>
      </c>
      <c r="I59" s="33"/>
      <c r="J59" s="28">
        <v>0.05</v>
      </c>
    </row>
    <row r="60" spans="2:11" s="12" customFormat="1" ht="18" customHeight="1" thickTop="1" thickBot="1" x14ac:dyDescent="0.3">
      <c r="B60" s="129"/>
      <c r="C60" s="130"/>
      <c r="D60" s="131"/>
      <c r="E60" s="131"/>
      <c r="F60" s="132"/>
      <c r="G60" s="132"/>
      <c r="H60" s="132"/>
      <c r="I60" s="132"/>
      <c r="J60" s="133"/>
    </row>
    <row r="61" spans="2:11" s="12" customFormat="1" ht="18" customHeight="1" thickTop="1" x14ac:dyDescent="0.25">
      <c r="F61" s="102"/>
      <c r="G61" s="40"/>
      <c r="H61" s="102"/>
      <c r="I61" s="33"/>
    </row>
    <row r="62" spans="2:11" s="12" customFormat="1" ht="18" customHeight="1" x14ac:dyDescent="0.25">
      <c r="B62" s="185" t="s">
        <v>61</v>
      </c>
      <c r="C62" s="12" t="s">
        <v>123</v>
      </c>
      <c r="F62" s="165"/>
      <c r="G62" s="40"/>
      <c r="H62" s="165"/>
      <c r="I62" s="33"/>
    </row>
    <row r="63" spans="2:11" s="12" customFormat="1" ht="21" customHeight="1" x14ac:dyDescent="0.25">
      <c r="B63" s="185" t="s">
        <v>63</v>
      </c>
      <c r="C63" s="12" t="s">
        <v>124</v>
      </c>
      <c r="F63" s="165"/>
      <c r="G63" s="40"/>
      <c r="H63" s="165"/>
      <c r="I63" s="33"/>
    </row>
    <row r="64" spans="2:11" s="12" customFormat="1" ht="20.25" customHeight="1" x14ac:dyDescent="0.25">
      <c r="B64" s="185" t="s">
        <v>65</v>
      </c>
      <c r="C64" s="12" t="s">
        <v>125</v>
      </c>
      <c r="F64" s="165"/>
      <c r="G64" s="40"/>
      <c r="H64" s="165"/>
      <c r="I64" s="33"/>
    </row>
    <row r="65" spans="2:9" s="12" customFormat="1" ht="20.25" customHeight="1" x14ac:dyDescent="0.25">
      <c r="B65" s="185" t="s">
        <v>67</v>
      </c>
      <c r="C65" s="12" t="s">
        <v>126</v>
      </c>
      <c r="F65" s="33"/>
      <c r="G65" s="40"/>
      <c r="H65" s="33"/>
      <c r="I65" s="33"/>
    </row>
    <row r="66" spans="2:9" s="12" customFormat="1" ht="21" customHeight="1" x14ac:dyDescent="0.25">
      <c r="B66" s="185" t="s">
        <v>69</v>
      </c>
      <c r="C66" s="160" t="s">
        <v>127</v>
      </c>
      <c r="F66" s="33"/>
      <c r="G66" s="40"/>
      <c r="H66" s="33"/>
      <c r="I66" s="33"/>
    </row>
    <row r="67" spans="2:9" s="12" customFormat="1" ht="21" customHeight="1" x14ac:dyDescent="0.25">
      <c r="B67" s="185"/>
      <c r="C67" s="160" t="s">
        <v>128</v>
      </c>
      <c r="F67" s="33"/>
      <c r="G67" s="40"/>
      <c r="H67" s="33"/>
      <c r="I67" s="33"/>
    </row>
    <row r="68" spans="2:9" s="12" customFormat="1" ht="21" customHeight="1" x14ac:dyDescent="0.25">
      <c r="B68" s="185"/>
      <c r="C68" s="160" t="s">
        <v>129</v>
      </c>
      <c r="F68" s="33"/>
      <c r="G68" s="40"/>
      <c r="H68" s="33"/>
      <c r="I68" s="33"/>
    </row>
    <row r="69" spans="2:9" s="12" customFormat="1" ht="21" customHeight="1" x14ac:dyDescent="0.25">
      <c r="B69" s="185"/>
      <c r="C69" s="160" t="s">
        <v>130</v>
      </c>
      <c r="F69" s="33"/>
      <c r="G69" s="40"/>
      <c r="H69" s="33"/>
      <c r="I69" s="33"/>
    </row>
    <row r="70" spans="2:9" s="12" customFormat="1" ht="21" customHeight="1" x14ac:dyDescent="0.25">
      <c r="B70" s="185"/>
      <c r="C70" s="160" t="s">
        <v>131</v>
      </c>
      <c r="F70" s="33"/>
      <c r="G70" s="40"/>
      <c r="H70" s="33"/>
      <c r="I70" s="33"/>
    </row>
    <row r="71" spans="2:9" s="12" customFormat="1" ht="21" customHeight="1" x14ac:dyDescent="0.25">
      <c r="B71" s="185"/>
      <c r="C71" s="160"/>
      <c r="F71" s="33"/>
      <c r="G71" s="40"/>
      <c r="H71" s="33"/>
      <c r="I71" s="33"/>
    </row>
    <row r="72" spans="2:9" s="12" customFormat="1" ht="18" customHeight="1" x14ac:dyDescent="0.25">
      <c r="B72" s="12" t="s">
        <v>71</v>
      </c>
      <c r="D72" s="186"/>
      <c r="F72" s="33"/>
      <c r="G72" s="33"/>
      <c r="H72" s="33"/>
      <c r="I72" s="33"/>
    </row>
    <row r="73" spans="2:9" s="12" customFormat="1" ht="18" customHeight="1" x14ac:dyDescent="0.25">
      <c r="B73" s="12" t="s">
        <v>72</v>
      </c>
      <c r="F73" s="33"/>
      <c r="G73" s="33"/>
      <c r="H73" s="33"/>
      <c r="I73" s="33"/>
    </row>
    <row r="74" spans="2:9" s="12" customFormat="1" ht="9" customHeight="1" x14ac:dyDescent="0.25">
      <c r="F74" s="33"/>
      <c r="G74" s="33"/>
      <c r="H74" s="33"/>
      <c r="I74" s="33"/>
    </row>
    <row r="75" spans="2:9" s="12" customFormat="1" ht="18" x14ac:dyDescent="0.25">
      <c r="F75" s="33"/>
      <c r="G75" s="33"/>
      <c r="H75" s="33"/>
      <c r="I75" s="33"/>
    </row>
    <row r="76" spans="2:9" s="12" customFormat="1" ht="18" x14ac:dyDescent="0.25">
      <c r="F76" s="33"/>
      <c r="G76" s="33"/>
      <c r="H76" s="33"/>
      <c r="I76" s="33"/>
    </row>
    <row r="77" spans="2:9" s="12" customFormat="1" ht="18" x14ac:dyDescent="0.25">
      <c r="F77" s="33"/>
      <c r="G77" s="33"/>
      <c r="H77" s="352"/>
      <c r="I77" s="33"/>
    </row>
    <row r="78" spans="2:9" s="12" customFormat="1" ht="18" x14ac:dyDescent="0.25">
      <c r="F78" s="33"/>
      <c r="G78" s="33"/>
      <c r="H78" s="33"/>
      <c r="I78" s="33"/>
    </row>
    <row r="79" spans="2:9" s="12" customFormat="1" ht="18" x14ac:dyDescent="0.25">
      <c r="F79" s="33"/>
      <c r="G79" s="33"/>
      <c r="H79" s="33"/>
      <c r="I79" s="33"/>
    </row>
  </sheetData>
  <pageMargins left="0" right="0" top="0.06" bottom="0.06" header="0" footer="0"/>
  <pageSetup scale="41" orientation="landscape" r:id="rId1"/>
  <headerFooter alignWithMargins="0">
    <oddFooter>&amp;R&amp;"Times New Roman,Bold"&amp;18Page 3</oddFooter>
  </headerFooter>
  <rowBreaks count="1" manualBreakCount="1">
    <brk id="76" max="655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showGridLines="0" zoomScale="90" workbookViewId="0">
      <pane xSplit="5" ySplit="5" topLeftCell="F6" activePane="bottomRight" state="frozen"/>
      <selection activeCell="F8" sqref="F8"/>
      <selection pane="topRight" activeCell="F8" sqref="F8"/>
      <selection pane="bottomLeft" activeCell="F8" sqref="F8"/>
      <selection pane="bottomRight" activeCell="H8" sqref="H8"/>
    </sheetView>
  </sheetViews>
  <sheetFormatPr defaultRowHeight="15" x14ac:dyDescent="0.2"/>
  <cols>
    <col min="1" max="3" width="4.83203125" style="19" customWidth="1"/>
    <col min="4" max="4" width="100.83203125" style="19" customWidth="1"/>
    <col min="5" max="5" width="2.83203125" style="19" customWidth="1"/>
    <col min="6" max="6" width="18.6640625" style="19" customWidth="1"/>
    <col min="7" max="7" width="2.83203125" style="82" customWidth="1"/>
    <col min="8" max="8" width="19.33203125" style="19" customWidth="1"/>
    <col min="9" max="9" width="2.83203125" style="19" customWidth="1"/>
    <col min="10" max="10" width="29.5" style="19" customWidth="1"/>
    <col min="11" max="11" width="3.1640625" style="19" customWidth="1"/>
    <col min="12" max="16384" width="9.33203125" style="19"/>
  </cols>
  <sheetData>
    <row r="1" spans="1:11" ht="18" customHeight="1" x14ac:dyDescent="0.25">
      <c r="A1" s="215" t="s">
        <v>109</v>
      </c>
      <c r="B1" s="79"/>
      <c r="C1" s="18"/>
      <c r="D1" s="216"/>
      <c r="E1" s="18"/>
      <c r="F1" s="218"/>
      <c r="G1" s="18"/>
      <c r="H1" s="218"/>
      <c r="I1" s="218"/>
      <c r="J1" s="218"/>
      <c r="K1" s="219"/>
    </row>
    <row r="2" spans="1:11" ht="20.100000000000001" customHeight="1" x14ac:dyDescent="0.3">
      <c r="B2" s="34"/>
      <c r="E2" s="220"/>
      <c r="F2" s="84"/>
      <c r="G2" s="84"/>
      <c r="H2" s="84"/>
      <c r="I2" s="84"/>
      <c r="J2" s="84"/>
      <c r="K2" s="84"/>
    </row>
    <row r="3" spans="1:11" ht="27" customHeight="1" x14ac:dyDescent="0.3">
      <c r="B3" s="299" t="s">
        <v>132</v>
      </c>
      <c r="E3" s="220"/>
      <c r="F3" s="84"/>
      <c r="G3" s="84"/>
      <c r="H3" s="86"/>
      <c r="I3" s="86"/>
      <c r="J3" s="86"/>
      <c r="K3" s="86"/>
    </row>
    <row r="4" spans="1:11" ht="18" customHeight="1" x14ac:dyDescent="0.25">
      <c r="B4" s="36" t="s">
        <v>25</v>
      </c>
      <c r="E4" s="220"/>
      <c r="F4" s="84"/>
      <c r="G4" s="84"/>
      <c r="H4" s="86"/>
      <c r="I4" s="86"/>
      <c r="J4" s="86"/>
      <c r="K4" s="86"/>
    </row>
    <row r="5" spans="1:11" ht="54" x14ac:dyDescent="0.25">
      <c r="A5" s="12"/>
      <c r="B5" s="38"/>
      <c r="C5" s="85"/>
      <c r="D5" s="86"/>
      <c r="E5" s="87"/>
      <c r="F5" s="355" t="s">
        <v>2</v>
      </c>
      <c r="G5" s="355"/>
      <c r="H5" s="355" t="s">
        <v>1</v>
      </c>
      <c r="I5" s="40"/>
      <c r="J5" s="356" t="s">
        <v>3</v>
      </c>
      <c r="K5" s="313"/>
    </row>
    <row r="6" spans="1:11" ht="19.5" customHeight="1" x14ac:dyDescent="0.25">
      <c r="A6" s="12"/>
      <c r="B6" s="223" t="s">
        <v>133</v>
      </c>
      <c r="C6" s="221"/>
      <c r="D6" s="222"/>
      <c r="E6" s="45"/>
      <c r="F6" s="42"/>
      <c r="G6" s="8"/>
      <c r="H6" s="42"/>
      <c r="I6" s="43"/>
      <c r="J6" s="43"/>
      <c r="K6" s="44"/>
    </row>
    <row r="7" spans="1:11" ht="25.15" customHeight="1" x14ac:dyDescent="0.25">
      <c r="A7" s="12"/>
      <c r="B7" s="223"/>
      <c r="C7" s="111" t="s">
        <v>134</v>
      </c>
      <c r="D7" s="223"/>
      <c r="E7" s="62"/>
      <c r="F7" s="17">
        <v>8908</v>
      </c>
      <c r="G7" s="52"/>
      <c r="H7" s="17">
        <v>9159</v>
      </c>
      <c r="I7" s="63"/>
      <c r="J7" s="15">
        <v>0.03</v>
      </c>
      <c r="K7" s="64"/>
    </row>
    <row r="8" spans="1:11" ht="18" customHeight="1" x14ac:dyDescent="0.25">
      <c r="A8" s="12"/>
      <c r="B8" s="223"/>
      <c r="C8" s="111" t="s">
        <v>5</v>
      </c>
      <c r="D8" s="223"/>
      <c r="E8" s="62"/>
      <c r="F8" s="63">
        <v>5785</v>
      </c>
      <c r="G8" s="40"/>
      <c r="H8" s="63">
        <v>6096</v>
      </c>
      <c r="I8" s="63"/>
      <c r="J8" s="15">
        <v>0.05</v>
      </c>
      <c r="K8" s="64"/>
    </row>
    <row r="9" spans="1:11" ht="18" customHeight="1" x14ac:dyDescent="0.25">
      <c r="A9" s="12"/>
      <c r="B9" s="223"/>
      <c r="C9" s="111" t="s">
        <v>6</v>
      </c>
      <c r="D9" s="223"/>
      <c r="E9" s="62"/>
      <c r="F9" s="63">
        <v>2193</v>
      </c>
      <c r="G9" s="40"/>
      <c r="H9" s="63">
        <v>2052</v>
      </c>
      <c r="I9" s="63"/>
      <c r="J9" s="15">
        <v>-0.06</v>
      </c>
      <c r="K9" s="64"/>
    </row>
    <row r="10" spans="1:11" ht="18" customHeight="1" x14ac:dyDescent="0.3">
      <c r="A10" s="223"/>
      <c r="B10" s="223"/>
      <c r="C10" s="111" t="s">
        <v>135</v>
      </c>
      <c r="D10" s="12"/>
      <c r="E10" s="8"/>
      <c r="F10" s="167">
        <v>131</v>
      </c>
      <c r="G10" s="119"/>
      <c r="H10" s="167">
        <v>699</v>
      </c>
      <c r="I10" s="112"/>
      <c r="J10" s="15" t="s">
        <v>8</v>
      </c>
      <c r="K10" s="225"/>
    </row>
    <row r="11" spans="1:11" ht="12" customHeight="1" thickBot="1" x14ac:dyDescent="0.35">
      <c r="A11" s="12"/>
      <c r="B11" s="223"/>
      <c r="C11" s="12"/>
      <c r="D11" s="12"/>
      <c r="E11" s="8"/>
      <c r="F11" s="167"/>
      <c r="G11" s="119"/>
      <c r="H11" s="167"/>
      <c r="I11" s="112"/>
      <c r="J11" s="15"/>
      <c r="K11" s="225"/>
    </row>
    <row r="12" spans="1:11" s="96" customFormat="1" ht="28.5" customHeight="1" thickBot="1" x14ac:dyDescent="0.4">
      <c r="A12" s="94"/>
      <c r="B12" s="300" t="s">
        <v>136</v>
      </c>
      <c r="C12" s="301"/>
      <c r="D12" s="68"/>
      <c r="E12" s="68"/>
      <c r="F12" s="192">
        <v>17017</v>
      </c>
      <c r="G12" s="303"/>
      <c r="H12" s="192">
        <v>18006</v>
      </c>
      <c r="I12" s="304"/>
      <c r="J12" s="235">
        <v>0.06</v>
      </c>
      <c r="K12" s="312"/>
    </row>
    <row r="13" spans="1:11" s="249" customFormat="1" ht="25.15" customHeight="1" x14ac:dyDescent="0.3">
      <c r="A13" s="105"/>
      <c r="B13" s="105"/>
      <c r="C13" s="2"/>
      <c r="D13" s="105"/>
      <c r="E13" s="105"/>
      <c r="F13" s="105"/>
      <c r="G13" s="105"/>
      <c r="H13" s="105"/>
      <c r="I13" s="105"/>
      <c r="J13" s="27"/>
      <c r="K13" s="225"/>
    </row>
    <row r="14" spans="1:11" ht="19.5" customHeight="1" x14ac:dyDescent="0.25">
      <c r="A14" s="12"/>
      <c r="B14" s="223" t="s">
        <v>54</v>
      </c>
      <c r="C14" s="221"/>
      <c r="D14" s="222"/>
      <c r="E14" s="45"/>
      <c r="F14" s="42"/>
      <c r="G14" s="8"/>
      <c r="H14" s="42"/>
      <c r="I14" s="43"/>
      <c r="J14" s="43"/>
      <c r="K14" s="44"/>
    </row>
    <row r="15" spans="1:11" ht="25.15" customHeight="1" x14ac:dyDescent="0.25">
      <c r="A15" s="12"/>
      <c r="B15" s="223"/>
      <c r="C15" s="111" t="s">
        <v>134</v>
      </c>
      <c r="D15" s="223"/>
      <c r="E15" s="62"/>
      <c r="F15" s="17">
        <v>2330</v>
      </c>
      <c r="G15" s="52"/>
      <c r="H15" s="17">
        <v>1916</v>
      </c>
      <c r="I15" s="63"/>
      <c r="J15" s="15">
        <v>-0.18</v>
      </c>
      <c r="K15" s="64"/>
    </row>
    <row r="16" spans="1:11" ht="18" customHeight="1" x14ac:dyDescent="0.25">
      <c r="A16" s="12"/>
      <c r="B16" s="223"/>
      <c r="C16" s="111" t="s">
        <v>5</v>
      </c>
      <c r="D16" s="223"/>
      <c r="E16" s="62"/>
      <c r="F16" s="63">
        <v>1613</v>
      </c>
      <c r="G16" s="40"/>
      <c r="H16" s="63">
        <v>114</v>
      </c>
      <c r="I16" s="63"/>
      <c r="J16" s="15">
        <v>-0.93</v>
      </c>
      <c r="K16" s="64"/>
    </row>
    <row r="17" spans="1:11" ht="18" customHeight="1" x14ac:dyDescent="0.25">
      <c r="A17" s="12"/>
      <c r="B17" s="223"/>
      <c r="C17" s="111" t="s">
        <v>6</v>
      </c>
      <c r="D17" s="223"/>
      <c r="E17" s="62"/>
      <c r="F17" s="63">
        <v>-620</v>
      </c>
      <c r="G17" s="40"/>
      <c r="H17" s="63">
        <v>75</v>
      </c>
      <c r="I17" s="63"/>
      <c r="J17" s="15" t="s">
        <v>8</v>
      </c>
      <c r="K17" s="64"/>
    </row>
    <row r="18" spans="1:11" ht="18" customHeight="1" x14ac:dyDescent="0.3">
      <c r="A18" s="223"/>
      <c r="B18" s="223"/>
      <c r="C18" s="111" t="s">
        <v>135</v>
      </c>
      <c r="D18" s="12"/>
      <c r="E18" s="8"/>
      <c r="F18" s="167">
        <v>-144</v>
      </c>
      <c r="G18" s="119"/>
      <c r="H18" s="167">
        <v>431</v>
      </c>
      <c r="I18" s="112"/>
      <c r="J18" s="15" t="s">
        <v>8</v>
      </c>
      <c r="K18" s="225"/>
    </row>
    <row r="19" spans="1:11" ht="12" customHeight="1" thickBot="1" x14ac:dyDescent="0.35">
      <c r="A19" s="12"/>
      <c r="B19" s="223"/>
      <c r="C19" s="12"/>
      <c r="D19" s="12"/>
      <c r="E19" s="8"/>
      <c r="F19" s="167"/>
      <c r="G19" s="119"/>
      <c r="H19" s="167"/>
      <c r="I19" s="112"/>
      <c r="J19" s="15"/>
      <c r="K19" s="225"/>
    </row>
    <row r="20" spans="1:11" s="96" customFormat="1" ht="28.5" customHeight="1" thickBot="1" x14ac:dyDescent="0.4">
      <c r="A20" s="94"/>
      <c r="B20" s="300" t="s">
        <v>17</v>
      </c>
      <c r="C20" s="301"/>
      <c r="D20" s="68"/>
      <c r="E20" s="68"/>
      <c r="F20" s="192">
        <v>3179</v>
      </c>
      <c r="G20" s="303"/>
      <c r="H20" s="192">
        <v>2536</v>
      </c>
      <c r="I20" s="304"/>
      <c r="J20" s="235">
        <v>-0.2</v>
      </c>
      <c r="K20" s="312"/>
    </row>
    <row r="21" spans="1:11" s="96" customFormat="1" ht="18.600000000000001" customHeight="1" x14ac:dyDescent="0.35">
      <c r="A21" s="94"/>
      <c r="B21" s="55"/>
      <c r="C21" s="226"/>
      <c r="D21" s="62"/>
      <c r="E21" s="62"/>
      <c r="F21" s="161"/>
      <c r="G21" s="48"/>
      <c r="H21" s="161"/>
      <c r="I21" s="73"/>
      <c r="J21" s="28"/>
      <c r="K21" s="227"/>
    </row>
    <row r="22" spans="1:11" ht="18" customHeight="1" x14ac:dyDescent="0.25">
      <c r="A22" s="12"/>
      <c r="B22" s="224" t="s">
        <v>137</v>
      </c>
      <c r="C22" s="12"/>
      <c r="D22" s="54"/>
      <c r="E22" s="62"/>
      <c r="F22" s="20">
        <v>0</v>
      </c>
      <c r="G22" s="145"/>
      <c r="H22" s="20">
        <v>-2</v>
      </c>
      <c r="I22" s="80"/>
      <c r="J22" s="15" t="s">
        <v>8</v>
      </c>
      <c r="K22" s="44"/>
    </row>
    <row r="23" spans="1:11" ht="11.25" customHeight="1" x14ac:dyDescent="0.25">
      <c r="A23" s="12"/>
      <c r="B23" s="12"/>
      <c r="C23" s="223"/>
      <c r="D23" s="12"/>
      <c r="E23" s="8"/>
      <c r="F23" s="112"/>
      <c r="G23" s="40"/>
      <c r="H23" s="112"/>
      <c r="I23" s="112"/>
      <c r="J23" s="15"/>
      <c r="K23" s="64"/>
    </row>
    <row r="24" spans="1:11" ht="18" customHeight="1" x14ac:dyDescent="0.25">
      <c r="A24" s="12"/>
      <c r="B24" s="90" t="s">
        <v>138</v>
      </c>
      <c r="C24" s="12"/>
      <c r="D24" s="54"/>
      <c r="E24" s="62"/>
      <c r="F24" s="20">
        <v>6</v>
      </c>
      <c r="G24" s="145"/>
      <c r="H24" s="20">
        <v>21</v>
      </c>
      <c r="I24" s="80"/>
      <c r="J24" s="15" t="s">
        <v>8</v>
      </c>
      <c r="K24" s="44"/>
    </row>
    <row r="25" spans="1:11" ht="18" customHeight="1" thickBot="1" x14ac:dyDescent="0.3">
      <c r="A25" s="12"/>
      <c r="B25" s="12"/>
      <c r="C25" s="223"/>
      <c r="D25" s="12"/>
      <c r="E25" s="8"/>
      <c r="F25" s="112"/>
      <c r="G25" s="40"/>
      <c r="H25" s="112"/>
      <c r="I25" s="112"/>
      <c r="J25" s="15"/>
      <c r="K25" s="64"/>
    </row>
    <row r="26" spans="1:11" s="96" customFormat="1" ht="27.75" customHeight="1" thickBot="1" x14ac:dyDescent="0.4">
      <c r="A26" s="94"/>
      <c r="B26" s="300" t="s">
        <v>139</v>
      </c>
      <c r="C26" s="301"/>
      <c r="D26" s="68"/>
      <c r="E26" s="68"/>
      <c r="F26" s="192">
        <v>3173</v>
      </c>
      <c r="G26" s="303"/>
      <c r="H26" s="192">
        <v>2513</v>
      </c>
      <c r="I26" s="304"/>
      <c r="J26" s="235">
        <v>-0.21</v>
      </c>
      <c r="K26" s="312"/>
    </row>
    <row r="27" spans="1:11" s="249" customFormat="1" ht="25.15" customHeight="1" x14ac:dyDescent="0.3">
      <c r="A27" s="105"/>
      <c r="B27" s="105"/>
      <c r="C27" s="2"/>
      <c r="D27" s="105"/>
      <c r="E27" s="105"/>
      <c r="F27" s="105"/>
      <c r="G27" s="105"/>
      <c r="H27" s="105"/>
      <c r="I27" s="105"/>
      <c r="J27" s="27"/>
      <c r="K27" s="27"/>
    </row>
    <row r="28" spans="1:11" s="249" customFormat="1" ht="18" customHeight="1" x14ac:dyDescent="0.3">
      <c r="A28" s="105"/>
      <c r="B28" s="105"/>
      <c r="C28" s="2"/>
      <c r="D28" s="105"/>
      <c r="E28" s="105"/>
      <c r="F28" s="105"/>
      <c r="G28" s="105"/>
      <c r="H28" s="105"/>
      <c r="I28" s="105"/>
      <c r="J28" s="27"/>
      <c r="K28" s="105"/>
    </row>
    <row r="29" spans="1:11" s="249" customFormat="1" ht="18" customHeight="1" x14ac:dyDescent="0.3">
      <c r="A29" s="105"/>
      <c r="B29" s="233"/>
      <c r="C29" s="2"/>
      <c r="D29" s="2"/>
      <c r="E29" s="105"/>
      <c r="F29" s="105"/>
      <c r="G29" s="105"/>
      <c r="H29" s="105"/>
      <c r="I29" s="105"/>
      <c r="J29" s="27"/>
      <c r="K29" s="105"/>
    </row>
    <row r="30" spans="1:11" ht="18" customHeight="1" x14ac:dyDescent="0.3">
      <c r="A30" s="12"/>
      <c r="B30" s="2" t="s">
        <v>71</v>
      </c>
      <c r="C30" s="12"/>
      <c r="D30" s="12"/>
      <c r="E30" s="8"/>
      <c r="F30" s="112"/>
      <c r="G30" s="112"/>
      <c r="H30" s="112"/>
      <c r="I30" s="167"/>
      <c r="J30" s="27"/>
      <c r="K30" s="167"/>
    </row>
    <row r="31" spans="1:11" ht="18" customHeight="1" x14ac:dyDescent="0.3">
      <c r="A31" s="12"/>
      <c r="B31" s="2" t="s">
        <v>72</v>
      </c>
      <c r="C31" s="12"/>
      <c r="D31" s="12"/>
      <c r="E31" s="8"/>
      <c r="F31" s="167"/>
      <c r="G31" s="112"/>
      <c r="H31" s="167"/>
      <c r="I31" s="167"/>
      <c r="J31" s="27"/>
      <c r="K31" s="167"/>
    </row>
    <row r="32" spans="1:11" ht="18" customHeight="1" x14ac:dyDescent="0.3">
      <c r="A32" s="12"/>
      <c r="B32" s="12"/>
      <c r="C32" s="12"/>
      <c r="D32" s="12"/>
      <c r="E32" s="8"/>
      <c r="F32" s="8"/>
      <c r="G32" s="40"/>
      <c r="H32" s="8"/>
      <c r="I32" s="8"/>
      <c r="J32" s="27"/>
      <c r="K32" s="8"/>
    </row>
    <row r="33" spans="1:11" ht="18" customHeight="1" x14ac:dyDescent="0.3">
      <c r="A33" s="12"/>
      <c r="B33" s="12"/>
      <c r="C33" s="12"/>
      <c r="D33" s="12"/>
      <c r="E33" s="8"/>
      <c r="F33" s="8"/>
      <c r="G33" s="40"/>
      <c r="H33" s="8"/>
      <c r="I33" s="8"/>
      <c r="J33" s="27"/>
      <c r="K33" s="8"/>
    </row>
    <row r="34" spans="1:11" ht="18" customHeight="1" x14ac:dyDescent="0.3">
      <c r="A34" s="12"/>
      <c r="B34" s="12"/>
      <c r="C34" s="12"/>
      <c r="D34" s="12"/>
      <c r="E34" s="8"/>
      <c r="F34" s="8"/>
      <c r="G34" s="40"/>
      <c r="H34" s="8"/>
      <c r="I34" s="8"/>
      <c r="J34" s="27"/>
      <c r="K34" s="8"/>
    </row>
    <row r="35" spans="1:11" ht="18" customHeight="1" x14ac:dyDescent="0.3">
      <c r="A35" s="12"/>
      <c r="B35" s="12"/>
      <c r="C35" s="12"/>
      <c r="D35" s="12"/>
      <c r="E35" s="8"/>
      <c r="F35" s="67"/>
      <c r="G35" s="40"/>
      <c r="H35" s="67"/>
      <c r="I35" s="8"/>
      <c r="J35" s="27"/>
      <c r="K35" s="8"/>
    </row>
    <row r="36" spans="1:11" ht="18" customHeight="1" x14ac:dyDescent="0.3">
      <c r="A36" s="12"/>
      <c r="B36" s="12"/>
      <c r="C36" s="12"/>
      <c r="D36" s="12"/>
      <c r="E36" s="8"/>
      <c r="F36" s="8"/>
      <c r="G36" s="40"/>
      <c r="H36" s="8"/>
      <c r="I36" s="8"/>
      <c r="J36" s="27"/>
      <c r="K36" s="8"/>
    </row>
    <row r="37" spans="1:11" ht="18" customHeight="1" x14ac:dyDescent="0.3">
      <c r="A37" s="12"/>
      <c r="B37" s="12"/>
      <c r="C37" s="12"/>
      <c r="D37" s="12"/>
      <c r="E37" s="8"/>
      <c r="F37" s="8"/>
      <c r="G37" s="40"/>
      <c r="H37" s="8"/>
      <c r="I37" s="8"/>
      <c r="J37" s="27"/>
      <c r="K37" s="8"/>
    </row>
    <row r="38" spans="1:11" ht="18" customHeight="1" x14ac:dyDescent="0.3">
      <c r="A38" s="12"/>
      <c r="B38" s="12"/>
      <c r="C38" s="12"/>
      <c r="D38" s="12"/>
      <c r="E38" s="8"/>
      <c r="F38" s="67"/>
      <c r="G38" s="40"/>
      <c r="H38" s="67"/>
      <c r="I38" s="8"/>
      <c r="J38" s="27"/>
      <c r="K38" s="8"/>
    </row>
    <row r="39" spans="1:11" ht="18" customHeight="1" x14ac:dyDescent="0.3">
      <c r="A39" s="12"/>
      <c r="B39" s="12"/>
      <c r="C39" s="12"/>
      <c r="D39" s="12"/>
      <c r="E39" s="8"/>
      <c r="F39" s="67"/>
      <c r="G39" s="40"/>
      <c r="H39" s="67"/>
      <c r="I39" s="8"/>
      <c r="J39" s="27"/>
      <c r="K39" s="8"/>
    </row>
  </sheetData>
  <pageMargins left="0" right="0" top="0.06" bottom="0.06" header="0" footer="0"/>
  <pageSetup scale="42" orientation="landscape" r:id="rId1"/>
  <headerFooter alignWithMargins="0">
    <oddFooter>&amp;R&amp;"Times New Roman,Bold"&amp;18Page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showGridLines="0" workbookViewId="0">
      <pane xSplit="5" ySplit="4" topLeftCell="F5" activePane="bottomRight" state="frozen"/>
      <selection activeCell="F8" sqref="F8"/>
      <selection pane="topRight" activeCell="F8" sqref="F8"/>
      <selection pane="bottomLeft" activeCell="F8" sqref="F8"/>
      <selection pane="bottomRight" activeCell="D23" sqref="D23"/>
    </sheetView>
  </sheetViews>
  <sheetFormatPr defaultRowHeight="15" x14ac:dyDescent="0.2"/>
  <cols>
    <col min="1" max="1" width="4.83203125" style="11" customWidth="1"/>
    <col min="2" max="2" width="5.6640625" style="11" customWidth="1"/>
    <col min="3" max="3" width="4.83203125" style="11" customWidth="1"/>
    <col min="4" max="4" width="103.83203125" style="11" customWidth="1"/>
    <col min="5" max="5" width="6.33203125" style="11" customWidth="1"/>
    <col min="6" max="6" width="17.33203125" style="11" customWidth="1"/>
    <col min="7" max="7" width="2.83203125" style="136" customWidth="1"/>
    <col min="8" max="8" width="17.1640625" style="136" customWidth="1"/>
    <col min="9" max="9" width="4.6640625" style="136" customWidth="1"/>
    <col min="10" max="10" width="18.83203125" style="11" customWidth="1"/>
    <col min="11" max="11" width="6.1640625" style="11" customWidth="1"/>
    <col min="12" max="16384" width="9.33203125" style="11"/>
  </cols>
  <sheetData>
    <row r="1" spans="1:11" ht="15.75" customHeight="1" x14ac:dyDescent="0.2">
      <c r="D1" s="10"/>
      <c r="E1" s="147"/>
      <c r="F1" s="10"/>
      <c r="G1" s="148"/>
      <c r="H1" s="148"/>
      <c r="I1" s="148"/>
      <c r="J1" s="18"/>
      <c r="K1" s="18"/>
    </row>
    <row r="2" spans="1:11" ht="24" customHeight="1" x14ac:dyDescent="0.3">
      <c r="B2" s="34" t="s">
        <v>140</v>
      </c>
      <c r="C2" s="149"/>
      <c r="D2" s="150"/>
      <c r="E2" s="147"/>
      <c r="F2" s="294"/>
      <c r="G2" s="150"/>
      <c r="H2" s="294"/>
      <c r="I2" s="153"/>
      <c r="J2" s="87"/>
      <c r="K2" s="87"/>
    </row>
    <row r="3" spans="1:11" ht="18" customHeight="1" x14ac:dyDescent="0.25">
      <c r="B3" s="36" t="s">
        <v>141</v>
      </c>
      <c r="C3" s="149"/>
      <c r="D3" s="150"/>
      <c r="E3" s="152"/>
      <c r="F3" s="150"/>
      <c r="G3" s="150"/>
      <c r="H3" s="234"/>
      <c r="I3" s="153"/>
      <c r="J3" s="87"/>
      <c r="K3" s="87"/>
    </row>
    <row r="4" spans="1:11" ht="72" x14ac:dyDescent="0.25">
      <c r="A4" s="2"/>
      <c r="B4" s="2"/>
      <c r="C4" s="2"/>
      <c r="D4" s="2"/>
      <c r="E4" s="9"/>
      <c r="F4" s="355" t="s">
        <v>2</v>
      </c>
      <c r="G4" s="355"/>
      <c r="H4" s="355" t="s">
        <v>1</v>
      </c>
      <c r="I4" s="40"/>
      <c r="J4" s="356" t="s">
        <v>3</v>
      </c>
      <c r="K4" s="45"/>
    </row>
    <row r="5" spans="1:11" ht="12" customHeight="1" x14ac:dyDescent="0.25">
      <c r="A5" s="2"/>
      <c r="B5" s="2"/>
      <c r="C5" s="2"/>
      <c r="D5" s="2"/>
      <c r="E5" s="9"/>
      <c r="F5" s="43"/>
      <c r="G5" s="154"/>
      <c r="H5" s="43"/>
      <c r="I5" s="154"/>
      <c r="J5" s="43"/>
      <c r="K5" s="44"/>
    </row>
    <row r="6" spans="1:11" s="19" customFormat="1" ht="18" customHeight="1" x14ac:dyDescent="0.25">
      <c r="A6" s="12"/>
      <c r="B6" s="2" t="s">
        <v>30</v>
      </c>
      <c r="C6" s="2"/>
      <c r="D6" s="12"/>
      <c r="E6" s="8"/>
      <c r="F6" s="193">
        <v>1064</v>
      </c>
      <c r="G6" s="295"/>
      <c r="H6" s="193">
        <v>1067</v>
      </c>
      <c r="I6" s="43"/>
      <c r="J6" s="15" t="s">
        <v>36</v>
      </c>
      <c r="K6" s="240"/>
    </row>
    <row r="7" spans="1:11" s="19" customFormat="1" ht="18" customHeight="1" x14ac:dyDescent="0.25">
      <c r="A7" s="12"/>
      <c r="B7" s="2" t="s">
        <v>142</v>
      </c>
      <c r="C7" s="2"/>
      <c r="D7" s="12"/>
      <c r="E7" s="8"/>
      <c r="F7" s="194">
        <v>662</v>
      </c>
      <c r="G7" s="296"/>
      <c r="H7" s="194">
        <v>629</v>
      </c>
      <c r="I7" s="43"/>
      <c r="J7" s="15">
        <v>-0.05</v>
      </c>
      <c r="K7" s="240"/>
    </row>
    <row r="8" spans="1:11" s="19" customFormat="1" ht="18" customHeight="1" x14ac:dyDescent="0.25">
      <c r="A8" s="12"/>
      <c r="B8" s="2" t="s">
        <v>143</v>
      </c>
      <c r="C8" s="2"/>
      <c r="D8" s="12"/>
      <c r="E8" s="8"/>
      <c r="F8" s="194">
        <v>1669</v>
      </c>
      <c r="G8" s="296"/>
      <c r="H8" s="194">
        <v>728</v>
      </c>
      <c r="I8" s="43"/>
      <c r="J8" s="15">
        <v>-0.56000000000000005</v>
      </c>
      <c r="K8" s="240"/>
    </row>
    <row r="9" spans="1:11" s="19" customFormat="1" ht="18" customHeight="1" x14ac:dyDescent="0.25">
      <c r="A9" s="12"/>
      <c r="B9" s="2" t="s">
        <v>31</v>
      </c>
      <c r="C9" s="2"/>
      <c r="D9" s="12"/>
      <c r="E9" s="8"/>
      <c r="F9" s="194">
        <v>1654</v>
      </c>
      <c r="G9" s="296"/>
      <c r="H9" s="194">
        <v>2057</v>
      </c>
      <c r="I9" s="43"/>
      <c r="J9" s="15">
        <v>0.24</v>
      </c>
      <c r="K9" s="240"/>
    </row>
    <row r="10" spans="1:11" s="19" customFormat="1" ht="21" customHeight="1" x14ac:dyDescent="0.25">
      <c r="A10" s="12"/>
      <c r="B10" s="2" t="s">
        <v>144</v>
      </c>
      <c r="C10" s="2"/>
      <c r="D10" s="12"/>
      <c r="E10" s="8"/>
      <c r="F10" s="195">
        <v>91</v>
      </c>
      <c r="G10" s="8"/>
      <c r="H10" s="195">
        <v>-359</v>
      </c>
      <c r="I10" s="43"/>
      <c r="J10" s="15" t="s">
        <v>8</v>
      </c>
      <c r="K10" s="240"/>
    </row>
    <row r="11" spans="1:11" s="19" customFormat="1" ht="18" customHeight="1" x14ac:dyDescent="0.25">
      <c r="A11" s="12"/>
      <c r="B11" s="297" t="s">
        <v>145</v>
      </c>
      <c r="C11" s="2"/>
      <c r="D11" s="12"/>
      <c r="E11" s="8"/>
      <c r="F11" s="24">
        <v>5140</v>
      </c>
      <c r="G11" s="8"/>
      <c r="H11" s="24">
        <v>4122</v>
      </c>
      <c r="I11" s="43"/>
      <c r="J11" s="15">
        <v>-0.2</v>
      </c>
      <c r="K11" s="240"/>
    </row>
    <row r="12" spans="1:11" s="19" customFormat="1" ht="18" customHeight="1" x14ac:dyDescent="0.25">
      <c r="A12" s="12"/>
      <c r="B12" s="297" t="s">
        <v>146</v>
      </c>
      <c r="C12" s="2"/>
      <c r="D12" s="12"/>
      <c r="E12" s="8"/>
      <c r="F12" s="196">
        <v>3768</v>
      </c>
      <c r="G12" s="296"/>
      <c r="H12" s="196">
        <v>5037</v>
      </c>
      <c r="I12" s="43"/>
      <c r="J12" s="15">
        <v>0.34</v>
      </c>
      <c r="K12" s="240"/>
    </row>
    <row r="13" spans="1:11" ht="18.75" customHeight="1" x14ac:dyDescent="0.25">
      <c r="A13" s="2"/>
      <c r="B13" s="46" t="s">
        <v>9</v>
      </c>
      <c r="C13" s="47"/>
      <c r="D13" s="241"/>
      <c r="E13" s="74"/>
      <c r="F13" s="197">
        <v>8908</v>
      </c>
      <c r="G13" s="74"/>
      <c r="H13" s="197">
        <v>9159</v>
      </c>
      <c r="I13" s="74"/>
      <c r="J13" s="28">
        <v>0.03</v>
      </c>
      <c r="K13" s="30"/>
    </row>
    <row r="14" spans="1:11" ht="18" customHeight="1" x14ac:dyDescent="0.25">
      <c r="A14" s="2"/>
      <c r="B14" s="39" t="s">
        <v>10</v>
      </c>
      <c r="C14" s="47"/>
      <c r="D14" s="47"/>
      <c r="E14" s="3"/>
      <c r="F14" s="298">
        <v>6225</v>
      </c>
      <c r="G14" s="74"/>
      <c r="H14" s="298">
        <v>6601</v>
      </c>
      <c r="I14" s="74"/>
      <c r="J14" s="15">
        <v>0.06</v>
      </c>
      <c r="K14" s="116"/>
    </row>
    <row r="15" spans="1:11" ht="23.25" customHeight="1" x14ac:dyDescent="0.25">
      <c r="A15" s="2"/>
      <c r="B15" s="39"/>
      <c r="C15" s="39" t="s">
        <v>147</v>
      </c>
      <c r="D15" s="47"/>
      <c r="E15" s="3"/>
      <c r="F15" s="198">
        <v>82</v>
      </c>
      <c r="G15" s="74"/>
      <c r="H15" s="198">
        <v>104</v>
      </c>
      <c r="I15" s="74"/>
      <c r="J15" s="15">
        <v>0.27</v>
      </c>
      <c r="K15" s="116"/>
    </row>
    <row r="16" spans="1:11" ht="18" customHeight="1" x14ac:dyDescent="0.25">
      <c r="A16" s="2"/>
      <c r="B16" s="39"/>
      <c r="C16" s="39" t="s">
        <v>40</v>
      </c>
      <c r="D16" s="47"/>
      <c r="E16" s="3"/>
      <c r="F16" s="198">
        <v>-192</v>
      </c>
      <c r="G16" s="74"/>
      <c r="H16" s="198">
        <v>-117</v>
      </c>
      <c r="I16" s="74"/>
      <c r="J16" s="15">
        <v>0.39</v>
      </c>
      <c r="K16" s="116"/>
    </row>
    <row r="17" spans="1:11" ht="18" customHeight="1" x14ac:dyDescent="0.25">
      <c r="A17" s="2"/>
      <c r="B17" s="39"/>
      <c r="C17" s="70" t="s">
        <v>45</v>
      </c>
      <c r="D17" s="47"/>
      <c r="E17" s="3"/>
      <c r="F17" s="198">
        <v>-181</v>
      </c>
      <c r="G17" s="74"/>
      <c r="H17" s="198">
        <v>63</v>
      </c>
      <c r="I17" s="74"/>
      <c r="J17" s="15" t="s">
        <v>8</v>
      </c>
      <c r="K17" s="116"/>
    </row>
    <row r="18" spans="1:11" ht="18" customHeight="1" x14ac:dyDescent="0.25">
      <c r="A18" s="2"/>
      <c r="B18" s="39"/>
      <c r="C18" s="39" t="s">
        <v>148</v>
      </c>
      <c r="D18" s="47"/>
      <c r="E18" s="3"/>
      <c r="F18" s="199">
        <v>10</v>
      </c>
      <c r="G18" s="74"/>
      <c r="H18" s="199">
        <v>6</v>
      </c>
      <c r="I18" s="74"/>
      <c r="J18" s="15">
        <v>-0.4</v>
      </c>
      <c r="K18" s="116"/>
    </row>
    <row r="19" spans="1:11" ht="18" customHeight="1" x14ac:dyDescent="0.25">
      <c r="A19" s="2"/>
      <c r="B19" s="39" t="s">
        <v>149</v>
      </c>
      <c r="C19" s="47"/>
      <c r="D19" s="47"/>
      <c r="E19" s="3"/>
      <c r="F19" s="200">
        <v>-281</v>
      </c>
      <c r="G19" s="74"/>
      <c r="H19" s="200">
        <v>56</v>
      </c>
      <c r="I19" s="74"/>
      <c r="J19" s="15" t="s">
        <v>8</v>
      </c>
      <c r="K19" s="116"/>
    </row>
    <row r="20" spans="1:11" ht="18" customHeight="1" x14ac:dyDescent="0.25">
      <c r="A20" s="2"/>
      <c r="B20" s="39" t="s">
        <v>150</v>
      </c>
      <c r="C20" s="47"/>
      <c r="D20" s="47"/>
      <c r="E20" s="3"/>
      <c r="F20" s="201">
        <v>2964</v>
      </c>
      <c r="G20" s="74"/>
      <c r="H20" s="201">
        <v>2502</v>
      </c>
      <c r="I20" s="74"/>
      <c r="J20" s="15">
        <v>-0.16</v>
      </c>
      <c r="K20" s="116"/>
    </row>
    <row r="21" spans="1:11" ht="18" customHeight="1" x14ac:dyDescent="0.25">
      <c r="A21" s="2"/>
      <c r="B21" s="39" t="s">
        <v>151</v>
      </c>
      <c r="C21" s="47"/>
      <c r="D21" s="47"/>
      <c r="E21" s="3"/>
      <c r="F21" s="199">
        <v>634</v>
      </c>
      <c r="G21" s="74"/>
      <c r="H21" s="199">
        <v>586</v>
      </c>
      <c r="I21" s="74"/>
      <c r="J21" s="15">
        <v>-0.08</v>
      </c>
      <c r="K21" s="116"/>
    </row>
    <row r="22" spans="1:11" s="97" customFormat="1" ht="18" customHeight="1" x14ac:dyDescent="0.25">
      <c r="A22" s="93"/>
      <c r="B22" s="46" t="s">
        <v>17</v>
      </c>
      <c r="C22" s="241"/>
      <c r="D22" s="241"/>
      <c r="E22" s="74"/>
      <c r="F22" s="197">
        <v>2330</v>
      </c>
      <c r="G22" s="74"/>
      <c r="H22" s="197">
        <v>1916</v>
      </c>
      <c r="I22" s="74"/>
      <c r="J22" s="28">
        <v>-0.18</v>
      </c>
      <c r="K22" s="30"/>
    </row>
    <row r="23" spans="1:11" ht="18" customHeight="1" x14ac:dyDescent="0.25">
      <c r="A23" s="2"/>
      <c r="B23" s="39" t="s">
        <v>120</v>
      </c>
      <c r="C23" s="47"/>
      <c r="D23" s="47"/>
      <c r="E23" s="3"/>
      <c r="F23" s="202">
        <v>10</v>
      </c>
      <c r="G23" s="74"/>
      <c r="H23" s="202">
        <v>20</v>
      </c>
      <c r="I23" s="74"/>
      <c r="J23" s="15">
        <v>1</v>
      </c>
      <c r="K23" s="116"/>
    </row>
    <row r="24" spans="1:11" s="97" customFormat="1" ht="18" customHeight="1" thickBot="1" x14ac:dyDescent="0.3">
      <c r="A24" s="93"/>
      <c r="B24" s="46" t="s">
        <v>139</v>
      </c>
      <c r="C24" s="241"/>
      <c r="D24" s="241"/>
      <c r="E24" s="74"/>
      <c r="F24" s="203">
        <v>2320</v>
      </c>
      <c r="G24" s="74"/>
      <c r="H24" s="203">
        <v>1896</v>
      </c>
      <c r="I24" s="74"/>
      <c r="J24" s="28">
        <v>-0.18</v>
      </c>
      <c r="K24" s="30"/>
    </row>
    <row r="25" spans="1:11" ht="20.25" customHeight="1" thickTop="1" x14ac:dyDescent="0.25">
      <c r="A25" s="2"/>
      <c r="B25" s="39" t="s">
        <v>152</v>
      </c>
      <c r="C25" s="47"/>
      <c r="D25" s="47"/>
      <c r="E25" s="3"/>
      <c r="F25" s="204">
        <v>1613</v>
      </c>
      <c r="G25" s="118"/>
      <c r="H25" s="204">
        <v>1730</v>
      </c>
      <c r="I25" s="118"/>
      <c r="J25" s="15">
        <v>7.0000000000000007E-2</v>
      </c>
      <c r="K25" s="242"/>
    </row>
    <row r="26" spans="1:11" ht="18" customHeight="1" x14ac:dyDescent="0.25">
      <c r="A26" s="2"/>
      <c r="B26" s="39" t="s">
        <v>153</v>
      </c>
      <c r="C26" s="47"/>
      <c r="D26" s="47"/>
      <c r="E26" s="3"/>
      <c r="F26" s="24">
        <v>1698</v>
      </c>
      <c r="G26" s="164"/>
      <c r="H26" s="24">
        <v>1753</v>
      </c>
      <c r="I26" s="118"/>
      <c r="J26" s="15">
        <v>0.03</v>
      </c>
      <c r="K26" s="242"/>
    </row>
    <row r="27" spans="1:11" ht="18" customHeight="1" x14ac:dyDescent="0.25">
      <c r="A27" s="2"/>
      <c r="B27" s="39" t="s">
        <v>154</v>
      </c>
      <c r="C27" s="47"/>
      <c r="D27" s="47"/>
      <c r="E27" s="3"/>
      <c r="F27" s="146">
        <v>0.7</v>
      </c>
      <c r="G27" s="4"/>
      <c r="H27" s="146">
        <v>0.72</v>
      </c>
      <c r="I27" s="4"/>
      <c r="J27" s="351">
        <v>200</v>
      </c>
      <c r="K27" s="309"/>
    </row>
    <row r="28" spans="1:11" ht="9.75" customHeight="1" x14ac:dyDescent="0.25">
      <c r="A28" s="2"/>
      <c r="B28" s="39"/>
      <c r="C28" s="47"/>
      <c r="D28" s="47"/>
      <c r="E28" s="3"/>
      <c r="F28" s="7"/>
      <c r="G28" s="4"/>
      <c r="H28" s="7"/>
      <c r="I28" s="4"/>
      <c r="J28" s="5"/>
      <c r="K28" s="256"/>
    </row>
    <row r="29" spans="1:11" ht="18" customHeight="1" x14ac:dyDescent="0.3">
      <c r="A29" s="2"/>
      <c r="B29" s="93" t="s">
        <v>155</v>
      </c>
      <c r="C29" s="2"/>
      <c r="D29" s="2"/>
      <c r="E29" s="141"/>
      <c r="F29" s="205"/>
      <c r="G29" s="212"/>
      <c r="H29" s="205"/>
      <c r="I29" s="105"/>
      <c r="J29" s="2"/>
      <c r="K29" s="257"/>
    </row>
    <row r="30" spans="1:11" s="19" customFormat="1" ht="18" customHeight="1" x14ac:dyDescent="0.25">
      <c r="A30" s="12"/>
      <c r="B30" s="33"/>
      <c r="C30" s="111" t="s">
        <v>156</v>
      </c>
      <c r="D30" s="33"/>
      <c r="E30" s="8"/>
      <c r="F30" s="206">
        <v>3270</v>
      </c>
      <c r="G30" s="293"/>
      <c r="H30" s="206">
        <v>4330</v>
      </c>
      <c r="I30" s="162"/>
      <c r="J30" s="15">
        <v>0.32</v>
      </c>
      <c r="K30" s="64"/>
    </row>
    <row r="31" spans="1:11" s="19" customFormat="1" ht="18" customHeight="1" x14ac:dyDescent="0.25">
      <c r="A31" s="12"/>
      <c r="B31" s="33"/>
      <c r="C31" s="111" t="s">
        <v>157</v>
      </c>
      <c r="D31" s="33"/>
      <c r="E31" s="8"/>
      <c r="F31" s="110">
        <v>3332</v>
      </c>
      <c r="G31" s="22"/>
      <c r="H31" s="110">
        <v>3944</v>
      </c>
      <c r="I31" s="43"/>
      <c r="J31" s="15">
        <v>0.18</v>
      </c>
      <c r="K31" s="64"/>
    </row>
    <row r="32" spans="1:11" s="19" customFormat="1" ht="18" customHeight="1" x14ac:dyDescent="0.25">
      <c r="A32" s="12"/>
      <c r="B32" s="12"/>
      <c r="C32" s="111" t="s">
        <v>158</v>
      </c>
      <c r="D32" s="12"/>
      <c r="E32" s="45"/>
      <c r="F32" s="110">
        <v>2306</v>
      </c>
      <c r="G32" s="260"/>
      <c r="H32" s="110">
        <v>885</v>
      </c>
      <c r="I32" s="43"/>
      <c r="J32" s="15">
        <v>-0.62</v>
      </c>
      <c r="K32" s="64"/>
    </row>
    <row r="33" spans="1:11" s="19" customFormat="1" ht="25.5" customHeight="1" thickBot="1" x14ac:dyDescent="0.35">
      <c r="A33" s="12"/>
      <c r="B33" s="159" t="s">
        <v>9</v>
      </c>
      <c r="C33" s="2"/>
      <c r="D33" s="2"/>
      <c r="E33" s="14"/>
      <c r="F33" s="163">
        <v>8908</v>
      </c>
      <c r="G33" s="212"/>
      <c r="H33" s="163">
        <v>9159</v>
      </c>
      <c r="I33" s="105"/>
      <c r="J33" s="15">
        <v>0.03</v>
      </c>
      <c r="K33" s="116"/>
    </row>
    <row r="34" spans="1:11" s="19" customFormat="1" ht="12" customHeight="1" thickTop="1" x14ac:dyDescent="0.3">
      <c r="A34" s="12"/>
      <c r="B34" s="12"/>
      <c r="C34" s="2"/>
      <c r="D34" s="2"/>
      <c r="E34" s="14"/>
      <c r="F34" s="17"/>
      <c r="G34" s="212"/>
      <c r="H34" s="17"/>
      <c r="I34" s="105"/>
      <c r="J34" s="15"/>
      <c r="K34" s="116"/>
    </row>
    <row r="35" spans="1:11" ht="18" customHeight="1" x14ac:dyDescent="0.3">
      <c r="A35" s="2"/>
      <c r="B35" s="93" t="s">
        <v>159</v>
      </c>
      <c r="C35" s="2"/>
      <c r="D35" s="2"/>
      <c r="E35" s="141"/>
      <c r="F35" s="205"/>
      <c r="G35" s="212"/>
      <c r="H35" s="205"/>
      <c r="I35" s="105"/>
      <c r="J35" s="2"/>
      <c r="K35" s="257"/>
    </row>
    <row r="36" spans="1:11" s="19" customFormat="1" ht="18" customHeight="1" x14ac:dyDescent="0.25">
      <c r="A36" s="12"/>
      <c r="B36" s="33"/>
      <c r="C36" s="111" t="s">
        <v>160</v>
      </c>
      <c r="D36" s="33"/>
      <c r="E36" s="8"/>
      <c r="F36" s="206">
        <v>3278</v>
      </c>
      <c r="G36" s="293"/>
      <c r="H36" s="206">
        <v>2444</v>
      </c>
      <c r="I36" s="162"/>
      <c r="J36" s="15">
        <v>-0.25</v>
      </c>
      <c r="K36" s="64"/>
    </row>
    <row r="37" spans="1:11" s="19" customFormat="1" ht="18" customHeight="1" x14ac:dyDescent="0.25">
      <c r="A37" s="12"/>
      <c r="B37" s="33"/>
      <c r="C37" s="111" t="s">
        <v>161</v>
      </c>
      <c r="D37" s="33"/>
      <c r="E37" s="8"/>
      <c r="F37" s="110">
        <v>2705</v>
      </c>
      <c r="G37" s="22"/>
      <c r="H37" s="110">
        <v>3293</v>
      </c>
      <c r="I37" s="43"/>
      <c r="J37" s="15">
        <v>0.22</v>
      </c>
      <c r="K37" s="64"/>
    </row>
    <row r="38" spans="1:11" s="19" customFormat="1" ht="18" customHeight="1" x14ac:dyDescent="0.25">
      <c r="A38" s="12"/>
      <c r="B38" s="33"/>
      <c r="C38" s="111" t="s">
        <v>162</v>
      </c>
      <c r="D38" s="33"/>
      <c r="E38" s="8"/>
      <c r="F38" s="110">
        <v>1113</v>
      </c>
      <c r="G38" s="22"/>
      <c r="H38" s="110">
        <v>1320</v>
      </c>
      <c r="I38" s="43"/>
      <c r="J38" s="15">
        <v>0.19</v>
      </c>
      <c r="K38" s="64"/>
    </row>
    <row r="39" spans="1:11" s="19" customFormat="1" ht="18" customHeight="1" x14ac:dyDescent="0.25">
      <c r="A39" s="12"/>
      <c r="B39" s="12"/>
      <c r="C39" s="111" t="s">
        <v>163</v>
      </c>
      <c r="D39" s="12"/>
      <c r="E39" s="45"/>
      <c r="F39" s="110">
        <v>1812</v>
      </c>
      <c r="G39" s="260"/>
      <c r="H39" s="110">
        <v>2102</v>
      </c>
      <c r="I39" s="43"/>
      <c r="J39" s="15">
        <v>0.16</v>
      </c>
      <c r="K39" s="64"/>
    </row>
    <row r="40" spans="1:11" s="19" customFormat="1" ht="21" customHeight="1" thickBot="1" x14ac:dyDescent="0.35">
      <c r="A40" s="12"/>
      <c r="B40" s="159" t="s">
        <v>9</v>
      </c>
      <c r="C40" s="2"/>
      <c r="D40" s="2"/>
      <c r="E40" s="14"/>
      <c r="F40" s="163">
        <v>8908</v>
      </c>
      <c r="G40" s="212"/>
      <c r="H40" s="163">
        <v>9159</v>
      </c>
      <c r="I40" s="105"/>
      <c r="J40" s="15">
        <v>0.03</v>
      </c>
      <c r="K40" s="116"/>
    </row>
    <row r="41" spans="1:11" s="19" customFormat="1" ht="12.75" customHeight="1" thickTop="1" x14ac:dyDescent="0.3">
      <c r="A41" s="12"/>
      <c r="B41" s="12"/>
      <c r="C41" s="2"/>
      <c r="D41" s="2"/>
      <c r="E41" s="14"/>
      <c r="F41" s="17"/>
      <c r="G41" s="212"/>
      <c r="H41" s="17"/>
      <c r="I41" s="105"/>
      <c r="J41" s="15"/>
      <c r="K41" s="116"/>
    </row>
    <row r="42" spans="1:11" ht="18" customHeight="1" x14ac:dyDescent="0.3">
      <c r="A42" s="2"/>
      <c r="B42" s="93" t="s">
        <v>164</v>
      </c>
      <c r="C42" s="2"/>
      <c r="D42" s="2"/>
      <c r="E42" s="141"/>
      <c r="F42" s="205"/>
      <c r="G42" s="212"/>
      <c r="H42" s="205"/>
      <c r="I42" s="105"/>
      <c r="J42" s="2"/>
      <c r="K42" s="257"/>
    </row>
    <row r="43" spans="1:11" s="19" customFormat="1" ht="18" customHeight="1" x14ac:dyDescent="0.25">
      <c r="A43" s="12"/>
      <c r="B43" s="33"/>
      <c r="C43" s="111" t="s">
        <v>160</v>
      </c>
      <c r="D43" s="33"/>
      <c r="E43" s="8"/>
      <c r="F43" s="206">
        <v>768</v>
      </c>
      <c r="G43" s="293"/>
      <c r="H43" s="206">
        <v>-90</v>
      </c>
      <c r="I43" s="162"/>
      <c r="J43" s="15" t="s">
        <v>8</v>
      </c>
      <c r="K43" s="64"/>
    </row>
    <row r="44" spans="1:11" s="19" customFormat="1" ht="18" customHeight="1" x14ac:dyDescent="0.25">
      <c r="A44" s="12"/>
      <c r="B44" s="33"/>
      <c r="C44" s="111" t="s">
        <v>161</v>
      </c>
      <c r="D44" s="33"/>
      <c r="E44" s="8"/>
      <c r="F44" s="110">
        <v>672</v>
      </c>
      <c r="G44" s="22"/>
      <c r="H44" s="110">
        <v>857</v>
      </c>
      <c r="I44" s="43"/>
      <c r="J44" s="15">
        <v>0.28000000000000003</v>
      </c>
      <c r="K44" s="64"/>
    </row>
    <row r="45" spans="1:11" s="19" customFormat="1" ht="18" customHeight="1" x14ac:dyDescent="0.25">
      <c r="A45" s="12"/>
      <c r="B45" s="33"/>
      <c r="C45" s="111" t="s">
        <v>162</v>
      </c>
      <c r="D45" s="33"/>
      <c r="E45" s="8"/>
      <c r="F45" s="110">
        <v>473</v>
      </c>
      <c r="G45" s="22"/>
      <c r="H45" s="110">
        <v>508</v>
      </c>
      <c r="I45" s="43"/>
      <c r="J45" s="15">
        <v>7.0000000000000007E-2</v>
      </c>
      <c r="K45" s="64"/>
    </row>
    <row r="46" spans="1:11" s="19" customFormat="1" ht="18" customHeight="1" x14ac:dyDescent="0.25">
      <c r="A46" s="12"/>
      <c r="B46" s="12"/>
      <c r="C46" s="111" t="s">
        <v>163</v>
      </c>
      <c r="D46" s="12"/>
      <c r="E46" s="45"/>
      <c r="F46" s="110">
        <v>417</v>
      </c>
      <c r="G46" s="260"/>
      <c r="H46" s="110">
        <v>641</v>
      </c>
      <c r="I46" s="43"/>
      <c r="J46" s="15">
        <v>0.54</v>
      </c>
      <c r="K46" s="64"/>
    </row>
    <row r="47" spans="1:11" s="19" customFormat="1" ht="18" customHeight="1" thickBot="1" x14ac:dyDescent="0.35">
      <c r="A47" s="12"/>
      <c r="B47" s="93" t="s">
        <v>54</v>
      </c>
      <c r="C47" s="2"/>
      <c r="D47" s="2"/>
      <c r="E47" s="14"/>
      <c r="F47" s="163">
        <v>2330</v>
      </c>
      <c r="G47" s="212"/>
      <c r="H47" s="163">
        <v>1916</v>
      </c>
      <c r="I47" s="105"/>
      <c r="J47" s="15">
        <v>-0.18</v>
      </c>
      <c r="K47" s="116"/>
    </row>
    <row r="48" spans="1:11" s="19" customFormat="1" ht="15" customHeight="1" thickTop="1" x14ac:dyDescent="0.3">
      <c r="A48" s="12"/>
      <c r="B48" s="12"/>
      <c r="C48" s="2"/>
      <c r="D48" s="2"/>
      <c r="E48" s="14"/>
      <c r="F48" s="17"/>
      <c r="G48" s="212"/>
      <c r="H48" s="17"/>
      <c r="I48" s="105"/>
      <c r="J48" s="15"/>
      <c r="K48" s="116"/>
    </row>
    <row r="49" spans="1:11" ht="18" customHeight="1" x14ac:dyDescent="0.3">
      <c r="A49" s="2"/>
      <c r="B49" s="93" t="s">
        <v>165</v>
      </c>
      <c r="C49" s="2"/>
      <c r="D49" s="2"/>
      <c r="E49" s="141"/>
      <c r="F49" s="205"/>
      <c r="G49" s="212"/>
      <c r="H49" s="205"/>
      <c r="I49" s="105"/>
      <c r="J49" s="2"/>
      <c r="K49" s="257"/>
    </row>
    <row r="50" spans="1:11" s="19" customFormat="1" ht="18" customHeight="1" x14ac:dyDescent="0.25">
      <c r="A50" s="12"/>
      <c r="B50" s="33"/>
      <c r="C50" s="111" t="s">
        <v>156</v>
      </c>
      <c r="D50" s="33"/>
      <c r="E50" s="8"/>
      <c r="F50" s="107">
        <v>77</v>
      </c>
      <c r="G50" s="258"/>
      <c r="H50" s="107">
        <v>79</v>
      </c>
      <c r="I50" s="259"/>
      <c r="J50" s="15">
        <v>0.03</v>
      </c>
      <c r="K50" s="64"/>
    </row>
    <row r="51" spans="1:11" s="19" customFormat="1" ht="18" customHeight="1" x14ac:dyDescent="0.25">
      <c r="A51" s="12"/>
      <c r="B51" s="33"/>
      <c r="C51" s="111" t="s">
        <v>158</v>
      </c>
      <c r="D51" s="33"/>
      <c r="E51" s="8"/>
      <c r="F51" s="110">
        <v>195</v>
      </c>
      <c r="G51" s="22"/>
      <c r="H51" s="110">
        <v>194</v>
      </c>
      <c r="I51" s="43"/>
      <c r="J51" s="15">
        <v>-0.01</v>
      </c>
      <c r="K51" s="64"/>
    </row>
    <row r="52" spans="1:11" s="19" customFormat="1" ht="18" customHeight="1" x14ac:dyDescent="0.25">
      <c r="A52" s="12"/>
      <c r="B52" s="12"/>
      <c r="C52" s="111" t="s">
        <v>157</v>
      </c>
      <c r="D52" s="12"/>
      <c r="E52" s="45"/>
      <c r="F52" s="24">
        <v>17</v>
      </c>
      <c r="G52" s="260"/>
      <c r="H52" s="24">
        <v>12</v>
      </c>
      <c r="I52" s="43"/>
      <c r="J52" s="15">
        <v>-0.28999999999999998</v>
      </c>
      <c r="K52" s="64"/>
    </row>
    <row r="53" spans="1:11" s="19" customFormat="1" ht="18" customHeight="1" thickBot="1" x14ac:dyDescent="0.35">
      <c r="A53" s="12"/>
      <c r="B53" s="12"/>
      <c r="C53" s="2"/>
      <c r="D53" s="2" t="s">
        <v>166</v>
      </c>
      <c r="E53" s="14"/>
      <c r="F53" s="163">
        <v>289</v>
      </c>
      <c r="G53" s="212"/>
      <c r="H53" s="163">
        <v>285</v>
      </c>
      <c r="I53" s="105"/>
      <c r="J53" s="15">
        <v>-0.01</v>
      </c>
      <c r="K53" s="116"/>
    </row>
    <row r="54" spans="1:11" s="19" customFormat="1" ht="16.5" customHeight="1" thickTop="1" x14ac:dyDescent="0.3">
      <c r="A54" s="12"/>
      <c r="B54" s="12"/>
      <c r="C54" s="2"/>
      <c r="D54" s="2"/>
      <c r="E54" s="14"/>
      <c r="F54" s="17"/>
      <c r="G54" s="212"/>
      <c r="H54" s="17"/>
      <c r="I54" s="105"/>
      <c r="J54" s="15"/>
      <c r="K54" s="116"/>
    </row>
    <row r="55" spans="1:11" ht="18" customHeight="1" x14ac:dyDescent="0.3">
      <c r="A55" s="2"/>
      <c r="B55" s="93" t="s">
        <v>167</v>
      </c>
      <c r="C55" s="2"/>
      <c r="D55" s="2"/>
      <c r="E55" s="141"/>
      <c r="F55" s="205"/>
      <c r="G55" s="212"/>
      <c r="H55" s="205"/>
      <c r="I55" s="105"/>
      <c r="J55" s="2"/>
      <c r="K55" s="257"/>
    </row>
    <row r="56" spans="1:11" s="19" customFormat="1" ht="18" customHeight="1" x14ac:dyDescent="0.25">
      <c r="A56" s="12"/>
      <c r="B56" s="33"/>
      <c r="C56" s="111"/>
      <c r="D56" s="33" t="s">
        <v>168</v>
      </c>
      <c r="E56" s="8"/>
      <c r="F56" s="107">
        <v>689</v>
      </c>
      <c r="G56" s="258"/>
      <c r="H56" s="107">
        <v>694</v>
      </c>
      <c r="I56" s="259"/>
      <c r="J56" s="15">
        <v>0.01</v>
      </c>
      <c r="K56" s="64"/>
    </row>
    <row r="57" spans="1:11" s="19" customFormat="1" ht="18" customHeight="1" x14ac:dyDescent="0.25">
      <c r="A57" s="12"/>
      <c r="B57" s="33"/>
      <c r="C57" s="111"/>
      <c r="D57" s="33" t="s">
        <v>169</v>
      </c>
      <c r="E57" s="8"/>
      <c r="F57" s="207">
        <v>140</v>
      </c>
      <c r="G57" s="22"/>
      <c r="H57" s="207">
        <v>129</v>
      </c>
      <c r="I57" s="43"/>
      <c r="J57" s="15">
        <v>-0.08</v>
      </c>
      <c r="K57" s="64"/>
    </row>
    <row r="58" spans="1:11" s="19" customFormat="1" ht="18" customHeight="1" x14ac:dyDescent="0.25">
      <c r="A58" s="12"/>
      <c r="B58" s="33"/>
      <c r="C58" s="111" t="s">
        <v>156</v>
      </c>
      <c r="D58" s="33"/>
      <c r="E58" s="8"/>
      <c r="F58" s="110">
        <v>829</v>
      </c>
      <c r="G58" s="22"/>
      <c r="H58" s="110">
        <v>823</v>
      </c>
      <c r="I58" s="43"/>
      <c r="J58" s="15">
        <v>-0.01</v>
      </c>
      <c r="K58" s="64"/>
    </row>
    <row r="59" spans="1:11" s="19" customFormat="1" ht="18" customHeight="1" x14ac:dyDescent="0.25">
      <c r="A59" s="12"/>
      <c r="B59" s="12"/>
      <c r="C59" s="111" t="s">
        <v>170</v>
      </c>
      <c r="D59" s="12"/>
      <c r="E59" s="45"/>
      <c r="F59" s="24">
        <v>23</v>
      </c>
      <c r="G59" s="260"/>
      <c r="H59" s="24">
        <v>25</v>
      </c>
      <c r="I59" s="43"/>
      <c r="J59" s="15">
        <v>0.09</v>
      </c>
      <c r="K59" s="64"/>
    </row>
    <row r="60" spans="1:11" s="19" customFormat="1" ht="18" customHeight="1" thickBot="1" x14ac:dyDescent="0.35">
      <c r="A60" s="12"/>
      <c r="B60" s="12"/>
      <c r="C60" s="2"/>
      <c r="D60" s="93" t="s">
        <v>166</v>
      </c>
      <c r="E60" s="14"/>
      <c r="F60" s="163">
        <v>852</v>
      </c>
      <c r="G60" s="212"/>
      <c r="H60" s="163">
        <v>848</v>
      </c>
      <c r="I60" s="105"/>
      <c r="J60" s="15" t="s">
        <v>36</v>
      </c>
      <c r="K60" s="116"/>
    </row>
    <row r="61" spans="1:11" s="19" customFormat="1" ht="15" customHeight="1" thickTop="1" x14ac:dyDescent="0.3">
      <c r="A61" s="12"/>
      <c r="B61" s="12"/>
      <c r="C61" s="2"/>
      <c r="D61" s="2"/>
      <c r="E61" s="14"/>
      <c r="F61" s="17"/>
      <c r="G61" s="212"/>
      <c r="H61" s="17"/>
      <c r="I61" s="105"/>
      <c r="J61" s="15"/>
      <c r="K61" s="116"/>
    </row>
    <row r="62" spans="1:11" ht="18" customHeight="1" x14ac:dyDescent="0.3">
      <c r="A62" s="2"/>
      <c r="B62" s="93" t="s">
        <v>171</v>
      </c>
      <c r="C62" s="2"/>
      <c r="D62" s="2"/>
      <c r="E62" s="141"/>
      <c r="F62" s="205"/>
      <c r="G62" s="212"/>
      <c r="H62" s="205"/>
      <c r="I62" s="105"/>
      <c r="J62" s="2"/>
      <c r="K62" s="257"/>
    </row>
    <row r="63" spans="1:11" s="19" customFormat="1" ht="18" customHeight="1" x14ac:dyDescent="0.25">
      <c r="A63" s="12"/>
      <c r="B63" s="33"/>
      <c r="C63" s="12" t="s">
        <v>172</v>
      </c>
      <c r="D63" s="33"/>
      <c r="E63" s="8"/>
      <c r="F63" s="292">
        <v>23.7</v>
      </c>
      <c r="G63" s="231"/>
      <c r="H63" s="292">
        <v>22.2</v>
      </c>
      <c r="I63" s="310"/>
      <c r="J63" s="15">
        <v>-0.06</v>
      </c>
      <c r="K63" s="64"/>
    </row>
    <row r="64" spans="1:11" s="19" customFormat="1" ht="18" customHeight="1" x14ac:dyDescent="0.25">
      <c r="A64" s="12"/>
      <c r="B64" s="33"/>
      <c r="C64" s="2" t="s">
        <v>173</v>
      </c>
      <c r="D64" s="33"/>
      <c r="E64" s="125"/>
      <c r="F64" s="292">
        <v>78.2</v>
      </c>
      <c r="G64" s="231"/>
      <c r="H64" s="292">
        <v>81.099999999999994</v>
      </c>
      <c r="I64" s="43"/>
      <c r="J64" s="15">
        <v>0.04</v>
      </c>
      <c r="K64" s="64"/>
    </row>
    <row r="65" spans="1:11" s="19" customFormat="1" ht="18" customHeight="1" x14ac:dyDescent="0.25">
      <c r="A65" s="12"/>
      <c r="B65" s="33"/>
      <c r="C65" s="2" t="s">
        <v>174</v>
      </c>
      <c r="D65" s="33"/>
      <c r="E65" s="8"/>
      <c r="F65" s="122">
        <v>37.799999999999997</v>
      </c>
      <c r="G65" s="137"/>
      <c r="H65" s="122">
        <v>38.200000000000003</v>
      </c>
      <c r="I65" s="43"/>
      <c r="J65" s="15">
        <v>0.01</v>
      </c>
      <c r="K65" s="64"/>
    </row>
    <row r="66" spans="1:11" s="19" customFormat="1" ht="18" customHeight="1" x14ac:dyDescent="0.25">
      <c r="A66" s="12"/>
      <c r="B66" s="12"/>
      <c r="C66" s="2" t="s">
        <v>175</v>
      </c>
      <c r="D66" s="12"/>
      <c r="E66" s="311"/>
      <c r="F66" s="292">
        <v>11.4</v>
      </c>
      <c r="G66" s="231"/>
      <c r="H66" s="292">
        <v>15.4</v>
      </c>
      <c r="I66" s="43"/>
      <c r="J66" s="15">
        <v>0.35</v>
      </c>
      <c r="K66" s="64"/>
    </row>
    <row r="67" spans="1:11" s="19" customFormat="1" ht="18" customHeight="1" x14ac:dyDescent="0.3">
      <c r="A67" s="12"/>
      <c r="B67" s="12"/>
      <c r="C67" s="2"/>
      <c r="D67" s="2"/>
      <c r="E67" s="14"/>
      <c r="F67" s="17"/>
      <c r="G67" s="212"/>
      <c r="H67" s="17"/>
      <c r="I67" s="105"/>
      <c r="J67" s="15"/>
      <c r="K67" s="116"/>
    </row>
    <row r="68" spans="1:11" s="19" customFormat="1" ht="9.75" customHeight="1" thickBot="1" x14ac:dyDescent="0.3">
      <c r="A68" s="12"/>
      <c r="B68" s="129"/>
      <c r="C68" s="130"/>
      <c r="D68" s="131"/>
      <c r="E68" s="131"/>
      <c r="F68" s="132"/>
      <c r="G68" s="132"/>
      <c r="H68" s="132"/>
      <c r="I68" s="132"/>
      <c r="J68" s="133"/>
      <c r="K68" s="187"/>
    </row>
    <row r="69" spans="1:11" s="19" customFormat="1" ht="18" customHeight="1" thickTop="1" x14ac:dyDescent="0.3">
      <c r="A69" s="12"/>
      <c r="B69" s="12"/>
      <c r="C69" s="2"/>
      <c r="D69" s="2"/>
      <c r="E69" s="14"/>
      <c r="F69" s="17"/>
      <c r="G69" s="212"/>
      <c r="H69" s="17"/>
      <c r="I69" s="105"/>
      <c r="J69" s="15"/>
      <c r="K69" s="16"/>
    </row>
    <row r="70" spans="1:11" s="19" customFormat="1" ht="18" customHeight="1" x14ac:dyDescent="0.3">
      <c r="A70" s="12"/>
      <c r="B70" s="233" t="s">
        <v>61</v>
      </c>
      <c r="C70" s="12" t="s">
        <v>176</v>
      </c>
      <c r="D70" s="2"/>
      <c r="E70" s="14"/>
      <c r="F70" s="17"/>
      <c r="G70" s="212"/>
      <c r="H70" s="17"/>
      <c r="I70" s="105"/>
      <c r="J70" s="15"/>
      <c r="K70" s="16"/>
    </row>
    <row r="71" spans="1:11" ht="20.25" customHeight="1" x14ac:dyDescent="0.25">
      <c r="A71" s="2"/>
      <c r="B71" s="2" t="s">
        <v>71</v>
      </c>
      <c r="C71" s="12"/>
      <c r="D71" s="2"/>
      <c r="E71" s="2"/>
      <c r="F71" s="139"/>
      <c r="G71" s="139"/>
      <c r="H71" s="139"/>
      <c r="I71" s="139"/>
      <c r="J71" s="144"/>
      <c r="K71" s="158"/>
    </row>
    <row r="72" spans="1:11" ht="18" customHeight="1" x14ac:dyDescent="0.25">
      <c r="A72" s="2"/>
      <c r="B72" s="2" t="s">
        <v>72</v>
      </c>
      <c r="C72" s="2"/>
      <c r="D72" s="2"/>
      <c r="E72" s="2"/>
      <c r="F72" s="139"/>
      <c r="G72" s="139"/>
      <c r="H72" s="139"/>
      <c r="I72" s="139"/>
      <c r="J72" s="144"/>
      <c r="K72" s="158"/>
    </row>
    <row r="73" spans="1:11" ht="18" customHeight="1" x14ac:dyDescent="0.25">
      <c r="A73" s="2"/>
      <c r="B73" s="2"/>
      <c r="C73" s="2"/>
      <c r="D73" s="2"/>
      <c r="E73" s="2"/>
      <c r="F73" s="139"/>
      <c r="G73" s="139"/>
      <c r="H73" s="139"/>
      <c r="I73" s="139"/>
      <c r="J73" s="144"/>
      <c r="K73" s="158"/>
    </row>
    <row r="74" spans="1:11" ht="18" customHeight="1" x14ac:dyDescent="0.25">
      <c r="A74" s="2"/>
      <c r="B74" s="2"/>
      <c r="C74" s="2"/>
      <c r="D74" s="2"/>
      <c r="E74" s="2"/>
      <c r="F74" s="251"/>
      <c r="G74" s="139"/>
      <c r="H74" s="251"/>
      <c r="I74" s="139"/>
      <c r="J74" s="144"/>
      <c r="K74" s="158"/>
    </row>
    <row r="75" spans="1:11" ht="18" customHeight="1" x14ac:dyDescent="0.25">
      <c r="A75" s="2"/>
      <c r="B75" s="2"/>
      <c r="C75" s="2"/>
      <c r="D75" s="2"/>
      <c r="E75" s="2"/>
      <c r="F75" s="251"/>
      <c r="G75" s="139"/>
      <c r="H75" s="251"/>
      <c r="I75" s="139"/>
      <c r="J75" s="144"/>
      <c r="K75" s="158"/>
    </row>
  </sheetData>
  <pageMargins left="0" right="0" top="0.06" bottom="0.06" header="0" footer="0"/>
  <pageSetup scale="38" orientation="landscape" r:id="rId1"/>
  <headerFooter alignWithMargins="0">
    <oddFooter>&amp;R&amp;"Times New Roman,Bold"&amp;18Page 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showGridLines="0" zoomScale="90" workbookViewId="0">
      <pane xSplit="5" ySplit="5" topLeftCell="F6" activePane="bottomRight" state="frozen"/>
      <selection activeCell="F8" sqref="F8"/>
      <selection pane="topRight" activeCell="F8" sqref="F8"/>
      <selection pane="bottomLeft" activeCell="F8" sqref="F8"/>
      <selection pane="bottomRight" activeCell="F5" sqref="F5:J5"/>
    </sheetView>
  </sheetViews>
  <sheetFormatPr defaultRowHeight="15" x14ac:dyDescent="0.2"/>
  <cols>
    <col min="1" max="3" width="4.83203125" style="19" customWidth="1"/>
    <col min="4" max="4" width="106.1640625" style="19" customWidth="1"/>
    <col min="5" max="5" width="2.83203125" style="19" customWidth="1"/>
    <col min="6" max="6" width="15.83203125" style="19" customWidth="1"/>
    <col min="7" max="7" width="2.83203125" style="82" customWidth="1"/>
    <col min="8" max="8" width="15.83203125" style="19" customWidth="1"/>
    <col min="9" max="9" width="2.33203125" style="19" customWidth="1"/>
    <col min="10" max="10" width="26.83203125" style="19" customWidth="1"/>
    <col min="11" max="11" width="2.83203125" style="19" customWidth="1"/>
    <col min="12" max="16384" width="9.33203125" style="19"/>
  </cols>
  <sheetData>
    <row r="1" spans="1:11" ht="18" customHeight="1" x14ac:dyDescent="0.2">
      <c r="E1" s="147"/>
      <c r="F1" s="10"/>
      <c r="G1" s="148"/>
      <c r="H1" s="148"/>
      <c r="I1" s="148"/>
      <c r="J1" s="18"/>
    </row>
    <row r="2" spans="1:11" ht="18" customHeight="1" x14ac:dyDescent="0.3">
      <c r="A2" s="18"/>
      <c r="B2" s="261" t="s">
        <v>177</v>
      </c>
      <c r="C2" s="18"/>
      <c r="D2" s="216"/>
      <c r="E2" s="147"/>
      <c r="F2" s="150"/>
      <c r="G2" s="150"/>
      <c r="H2" s="153"/>
      <c r="I2" s="153"/>
      <c r="J2" s="8"/>
      <c r="K2" s="8"/>
    </row>
    <row r="3" spans="1:11" ht="18" customHeight="1" x14ac:dyDescent="0.25">
      <c r="B3" s="90" t="s">
        <v>178</v>
      </c>
      <c r="C3" s="84"/>
      <c r="D3" s="84"/>
      <c r="E3" s="262"/>
      <c r="F3" s="263"/>
      <c r="G3" s="263"/>
      <c r="H3" s="234"/>
      <c r="I3" s="234"/>
      <c r="J3" s="8"/>
      <c r="K3" s="12"/>
    </row>
    <row r="4" spans="1:11" ht="18" customHeight="1" x14ac:dyDescent="0.25">
      <c r="A4" s="12"/>
      <c r="B4" s="36" t="s">
        <v>141</v>
      </c>
      <c r="C4" s="86"/>
      <c r="D4" s="86"/>
      <c r="E4" s="264"/>
      <c r="F4" s="81"/>
      <c r="G4" s="114"/>
      <c r="H4" s="81"/>
      <c r="I4" s="40"/>
      <c r="J4" s="8"/>
      <c r="K4" s="12"/>
    </row>
    <row r="5" spans="1:11" ht="54" x14ac:dyDescent="0.25">
      <c r="A5" s="12"/>
      <c r="B5" s="12"/>
      <c r="C5" s="12"/>
      <c r="D5" s="12"/>
      <c r="E5" s="8"/>
      <c r="F5" s="355" t="s">
        <v>2</v>
      </c>
      <c r="G5" s="355"/>
      <c r="H5" s="355" t="s">
        <v>1</v>
      </c>
      <c r="I5" s="40"/>
      <c r="J5" s="356" t="s">
        <v>3</v>
      </c>
      <c r="K5" s="12"/>
    </row>
    <row r="6" spans="1:11" ht="18" customHeight="1" x14ac:dyDescent="0.25">
      <c r="A6" s="94" t="s">
        <v>156</v>
      </c>
      <c r="B6" s="12"/>
      <c r="C6" s="12"/>
      <c r="D6" s="12"/>
      <c r="E6" s="8"/>
      <c r="F6" s="43"/>
      <c r="G6" s="8"/>
      <c r="H6" s="43"/>
      <c r="I6" s="43"/>
      <c r="J6" s="43"/>
      <c r="K6" s="12"/>
    </row>
    <row r="7" spans="1:11" s="11" customFormat="1" ht="18" customHeight="1" x14ac:dyDescent="0.25">
      <c r="A7" s="12"/>
      <c r="B7" s="98" t="s">
        <v>179</v>
      </c>
      <c r="C7" s="12"/>
      <c r="D7" s="12"/>
      <c r="E7" s="12"/>
      <c r="F7" s="209">
        <v>1694</v>
      </c>
      <c r="G7" s="265"/>
      <c r="H7" s="209">
        <v>2825</v>
      </c>
      <c r="I7" s="31"/>
      <c r="J7" s="15">
        <v>0.67</v>
      </c>
      <c r="K7" s="12"/>
    </row>
    <row r="8" spans="1:11" s="11" customFormat="1" ht="18" customHeight="1" x14ac:dyDescent="0.25">
      <c r="A8" s="12"/>
      <c r="B8" s="98" t="s">
        <v>180</v>
      </c>
      <c r="C8" s="12"/>
      <c r="D8" s="12"/>
      <c r="E8" s="12"/>
      <c r="F8" s="91">
        <v>1576</v>
      </c>
      <c r="G8" s="266"/>
      <c r="H8" s="91">
        <v>1505</v>
      </c>
      <c r="I8" s="31"/>
      <c r="J8" s="15">
        <v>-0.05</v>
      </c>
      <c r="K8" s="12"/>
    </row>
    <row r="9" spans="1:11" s="11" customFormat="1" ht="18" customHeight="1" x14ac:dyDescent="0.25">
      <c r="A9" s="94" t="s">
        <v>181</v>
      </c>
      <c r="B9" s="94"/>
      <c r="C9" s="94"/>
      <c r="D9" s="94"/>
      <c r="E9" s="29"/>
      <c r="F9" s="267">
        <v>3270</v>
      </c>
      <c r="G9" s="268"/>
      <c r="H9" s="267">
        <v>4330</v>
      </c>
      <c r="I9" s="78"/>
      <c r="J9" s="28">
        <v>0.32</v>
      </c>
      <c r="K9" s="94"/>
    </row>
    <row r="10" spans="1:11" s="11" customFormat="1" ht="18" customHeight="1" x14ac:dyDescent="0.25">
      <c r="A10" s="12"/>
      <c r="B10" s="94"/>
      <c r="C10" s="94"/>
      <c r="D10" s="62"/>
      <c r="E10" s="29"/>
      <c r="F10" s="269"/>
      <c r="G10" s="268"/>
      <c r="H10" s="269"/>
      <c r="I10" s="78"/>
      <c r="J10" s="28"/>
      <c r="K10" s="62"/>
    </row>
    <row r="11" spans="1:11" s="11" customFormat="1" ht="18" customHeight="1" x14ac:dyDescent="0.25">
      <c r="A11" s="12"/>
      <c r="B11" s="98" t="s">
        <v>179</v>
      </c>
      <c r="C11" s="12"/>
      <c r="D11" s="12"/>
      <c r="E11" s="12"/>
      <c r="F11" s="209">
        <v>1455</v>
      </c>
      <c r="G11" s="265"/>
      <c r="H11" s="209">
        <v>2344</v>
      </c>
      <c r="I11" s="31"/>
      <c r="J11" s="15">
        <v>0.61</v>
      </c>
      <c r="K11" s="12"/>
    </row>
    <row r="12" spans="1:11" s="11" customFormat="1" ht="18" customHeight="1" x14ac:dyDescent="0.25">
      <c r="A12" s="12"/>
      <c r="B12" s="98" t="s">
        <v>180</v>
      </c>
      <c r="C12" s="12"/>
      <c r="D12" s="12"/>
      <c r="E12" s="12"/>
      <c r="F12" s="91">
        <v>960</v>
      </c>
      <c r="G12" s="266"/>
      <c r="H12" s="91">
        <v>946</v>
      </c>
      <c r="I12" s="31"/>
      <c r="J12" s="15">
        <v>-0.01</v>
      </c>
      <c r="K12" s="12"/>
    </row>
    <row r="13" spans="1:11" s="11" customFormat="1" ht="18" customHeight="1" x14ac:dyDescent="0.25">
      <c r="A13" s="12"/>
      <c r="B13" s="90" t="s">
        <v>182</v>
      </c>
      <c r="C13" s="94"/>
      <c r="D13" s="94"/>
      <c r="E13" s="29"/>
      <c r="F13" s="267">
        <v>2415</v>
      </c>
      <c r="G13" s="268"/>
      <c r="H13" s="267">
        <v>3290</v>
      </c>
      <c r="I13" s="78"/>
      <c r="J13" s="28">
        <v>0.36</v>
      </c>
      <c r="K13" s="94"/>
    </row>
    <row r="14" spans="1:11" s="11" customFormat="1" ht="18" customHeight="1" x14ac:dyDescent="0.25">
      <c r="A14" s="12"/>
      <c r="B14" s="94"/>
      <c r="C14" s="94"/>
      <c r="D14" s="62"/>
      <c r="E14" s="29"/>
      <c r="F14" s="269"/>
      <c r="G14" s="268"/>
      <c r="H14" s="269"/>
      <c r="I14" s="78"/>
      <c r="J14" s="28"/>
      <c r="K14" s="62"/>
    </row>
    <row r="15" spans="1:11" s="11" customFormat="1" ht="18" customHeight="1" x14ac:dyDescent="0.25">
      <c r="A15" s="12"/>
      <c r="B15" s="98" t="s">
        <v>179</v>
      </c>
      <c r="C15" s="12"/>
      <c r="D15" s="12"/>
      <c r="E15" s="12"/>
      <c r="F15" s="209">
        <v>239</v>
      </c>
      <c r="G15" s="265"/>
      <c r="H15" s="209">
        <v>481</v>
      </c>
      <c r="I15" s="31"/>
      <c r="J15" s="15" t="s">
        <v>8</v>
      </c>
      <c r="K15" s="12"/>
    </row>
    <row r="16" spans="1:11" s="11" customFormat="1" ht="18" customHeight="1" x14ac:dyDescent="0.25">
      <c r="A16" s="12"/>
      <c r="B16" s="98" t="s">
        <v>180</v>
      </c>
      <c r="C16" s="12"/>
      <c r="D16" s="12"/>
      <c r="E16" s="12"/>
      <c r="F16" s="91">
        <v>616</v>
      </c>
      <c r="G16" s="266"/>
      <c r="H16" s="91">
        <v>559</v>
      </c>
      <c r="I16" s="31"/>
      <c r="J16" s="15">
        <v>-0.09</v>
      </c>
      <c r="K16" s="12"/>
    </row>
    <row r="17" spans="1:11" s="11" customFormat="1" ht="18" customHeight="1" x14ac:dyDescent="0.25">
      <c r="A17" s="12"/>
      <c r="B17" s="90" t="s">
        <v>169</v>
      </c>
      <c r="C17" s="94"/>
      <c r="D17" s="94"/>
      <c r="E17" s="29"/>
      <c r="F17" s="267">
        <v>855</v>
      </c>
      <c r="G17" s="268"/>
      <c r="H17" s="267">
        <v>1040</v>
      </c>
      <c r="I17" s="78"/>
      <c r="J17" s="28">
        <v>0.22</v>
      </c>
      <c r="K17" s="94"/>
    </row>
    <row r="18" spans="1:11" ht="12" customHeight="1" x14ac:dyDescent="0.25">
      <c r="A18" s="190"/>
      <c r="B18" s="190"/>
      <c r="C18" s="190"/>
      <c r="D18" s="190"/>
      <c r="E18" s="190"/>
      <c r="F18" s="190"/>
      <c r="G18" s="190"/>
      <c r="H18" s="190"/>
      <c r="I18" s="270"/>
      <c r="J18" s="270"/>
      <c r="K18" s="12"/>
    </row>
    <row r="19" spans="1:11" s="11" customFormat="1" ht="28.5" customHeight="1" x14ac:dyDescent="0.25">
      <c r="A19" s="94" t="s">
        <v>157</v>
      </c>
      <c r="B19" s="94"/>
      <c r="C19" s="12"/>
      <c r="D19" s="271"/>
      <c r="E19" s="16"/>
      <c r="F19" s="91"/>
      <c r="G19" s="266"/>
      <c r="H19" s="91"/>
      <c r="I19" s="31"/>
      <c r="J19" s="15"/>
      <c r="K19" s="12"/>
    </row>
    <row r="20" spans="1:11" s="11" customFormat="1" ht="18" customHeight="1" x14ac:dyDescent="0.25">
      <c r="A20" s="12"/>
      <c r="B20" s="98" t="s">
        <v>179</v>
      </c>
      <c r="C20" s="12"/>
      <c r="D20" s="12"/>
      <c r="E20" s="12"/>
      <c r="F20" s="209">
        <v>1239</v>
      </c>
      <c r="G20" s="265"/>
      <c r="H20" s="209">
        <v>1489</v>
      </c>
      <c r="I20" s="17"/>
      <c r="J20" s="15">
        <v>0.2</v>
      </c>
      <c r="K20" s="12"/>
    </row>
    <row r="21" spans="1:11" s="11" customFormat="1" ht="18" customHeight="1" x14ac:dyDescent="0.25">
      <c r="A21" s="12"/>
      <c r="B21" s="98" t="s">
        <v>180</v>
      </c>
      <c r="C21" s="12"/>
      <c r="D21" s="12"/>
      <c r="E21" s="12"/>
      <c r="F21" s="91">
        <v>2093</v>
      </c>
      <c r="G21" s="266"/>
      <c r="H21" s="91">
        <v>2455</v>
      </c>
      <c r="I21" s="31"/>
      <c r="J21" s="15">
        <v>0.17</v>
      </c>
      <c r="K21" s="12"/>
    </row>
    <row r="22" spans="1:11" s="11" customFormat="1" ht="18" customHeight="1" x14ac:dyDescent="0.25">
      <c r="A22" s="94" t="s">
        <v>183</v>
      </c>
      <c r="B22" s="94"/>
      <c r="C22" s="94"/>
      <c r="D22" s="94"/>
      <c r="E22" s="29"/>
      <c r="F22" s="267">
        <v>3332</v>
      </c>
      <c r="G22" s="268"/>
      <c r="H22" s="267">
        <v>3944</v>
      </c>
      <c r="I22" s="78"/>
      <c r="J22" s="28">
        <v>0.18</v>
      </c>
      <c r="K22" s="94"/>
    </row>
    <row r="23" spans="1:11" s="11" customFormat="1" ht="10.5" customHeight="1" x14ac:dyDescent="0.25">
      <c r="A23" s="12"/>
      <c r="B23" s="94"/>
      <c r="C23" s="94"/>
      <c r="D23" s="62"/>
      <c r="E23" s="29"/>
      <c r="F23" s="272"/>
      <c r="G23" s="268"/>
      <c r="H23" s="272"/>
      <c r="I23" s="78"/>
      <c r="J23" s="28"/>
      <c r="K23" s="62"/>
    </row>
    <row r="24" spans="1:11" s="11" customFormat="1" ht="18" customHeight="1" x14ac:dyDescent="0.25">
      <c r="A24" s="12"/>
      <c r="B24" s="98" t="s">
        <v>184</v>
      </c>
      <c r="C24" s="12"/>
      <c r="D24" s="12"/>
      <c r="E24" s="12"/>
      <c r="F24" s="209">
        <v>2414</v>
      </c>
      <c r="G24" s="265"/>
      <c r="H24" s="209">
        <v>3155</v>
      </c>
      <c r="I24" s="17"/>
      <c r="J24" s="15">
        <v>0.31</v>
      </c>
      <c r="K24" s="12"/>
    </row>
    <row r="25" spans="1:11" s="11" customFormat="1" ht="18" customHeight="1" x14ac:dyDescent="0.25">
      <c r="A25" s="12"/>
      <c r="B25" s="98" t="s">
        <v>185</v>
      </c>
      <c r="C25" s="12"/>
      <c r="D25" s="12"/>
      <c r="E25" s="12"/>
      <c r="F25" s="91">
        <v>918</v>
      </c>
      <c r="G25" s="266"/>
      <c r="H25" s="91">
        <v>789</v>
      </c>
      <c r="I25" s="31"/>
      <c r="J25" s="15">
        <v>-0.14000000000000001</v>
      </c>
      <c r="K25" s="12"/>
    </row>
    <row r="26" spans="1:11" s="11" customFormat="1" ht="18" customHeight="1" x14ac:dyDescent="0.25">
      <c r="A26" s="12"/>
      <c r="B26" s="94" t="s">
        <v>186</v>
      </c>
      <c r="C26" s="94"/>
      <c r="D26" s="94"/>
      <c r="E26" s="29"/>
      <c r="F26" s="267">
        <v>3332</v>
      </c>
      <c r="G26" s="268"/>
      <c r="H26" s="267">
        <v>3944</v>
      </c>
      <c r="I26" s="78"/>
      <c r="J26" s="28">
        <v>0.18</v>
      </c>
      <c r="K26" s="94"/>
    </row>
    <row r="27" spans="1:11" s="11" customFormat="1" ht="7.5" customHeight="1" x14ac:dyDescent="0.25">
      <c r="A27" s="12"/>
      <c r="B27" s="94"/>
      <c r="C27" s="94"/>
      <c r="D27" s="62"/>
      <c r="E27" s="29"/>
      <c r="F27" s="272"/>
      <c r="G27" s="268"/>
      <c r="H27" s="272"/>
      <c r="I27" s="78"/>
      <c r="J27" s="28"/>
      <c r="K27" s="62"/>
    </row>
    <row r="28" spans="1:11" s="11" customFormat="1" ht="18" customHeight="1" x14ac:dyDescent="0.25">
      <c r="A28" s="12"/>
      <c r="B28" s="98"/>
      <c r="C28" s="98" t="s">
        <v>187</v>
      </c>
      <c r="D28" s="12"/>
      <c r="E28" s="12"/>
      <c r="F28" s="209">
        <v>1710</v>
      </c>
      <c r="G28" s="265"/>
      <c r="H28" s="209">
        <v>2788</v>
      </c>
      <c r="I28" s="17"/>
      <c r="J28" s="15">
        <v>0.63</v>
      </c>
      <c r="K28" s="12"/>
    </row>
    <row r="29" spans="1:11" s="11" customFormat="1" ht="18" customHeight="1" x14ac:dyDescent="0.25">
      <c r="A29" s="12"/>
      <c r="B29" s="98"/>
      <c r="C29" s="98" t="s">
        <v>188</v>
      </c>
      <c r="D29" s="12"/>
      <c r="E29" s="12"/>
      <c r="F29" s="91">
        <v>704</v>
      </c>
      <c r="G29" s="266"/>
      <c r="H29" s="91">
        <v>367</v>
      </c>
      <c r="I29" s="31"/>
      <c r="J29" s="15">
        <v>-0.48</v>
      </c>
      <c r="K29" s="12"/>
    </row>
    <row r="30" spans="1:11" s="11" customFormat="1" ht="18" customHeight="1" x14ac:dyDescent="0.25">
      <c r="A30" s="12"/>
      <c r="B30" s="94"/>
      <c r="C30" s="94" t="s">
        <v>189</v>
      </c>
      <c r="D30" s="94"/>
      <c r="E30" s="29"/>
      <c r="F30" s="267">
        <v>2414</v>
      </c>
      <c r="G30" s="268"/>
      <c r="H30" s="267">
        <v>3155</v>
      </c>
      <c r="I30" s="78"/>
      <c r="J30" s="28">
        <v>0.31</v>
      </c>
      <c r="K30" s="94"/>
    </row>
    <row r="31" spans="1:11" ht="18" customHeight="1" x14ac:dyDescent="0.25">
      <c r="A31" s="190"/>
      <c r="B31" s="190"/>
      <c r="C31" s="190"/>
      <c r="D31" s="190"/>
      <c r="E31" s="190"/>
      <c r="F31" s="190"/>
      <c r="G31" s="190"/>
      <c r="H31" s="190"/>
      <c r="I31" s="270"/>
      <c r="J31" s="270"/>
      <c r="K31" s="12"/>
    </row>
    <row r="32" spans="1:11" s="11" customFormat="1" ht="24.75" customHeight="1" x14ac:dyDescent="0.25">
      <c r="A32" s="94" t="s">
        <v>158</v>
      </c>
      <c r="B32" s="89"/>
      <c r="C32" s="12"/>
      <c r="D32" s="12"/>
      <c r="E32" s="8"/>
      <c r="F32" s="43"/>
      <c r="G32" s="266"/>
      <c r="H32" s="43"/>
      <c r="I32" s="31"/>
      <c r="J32" s="273"/>
      <c r="K32" s="8"/>
    </row>
    <row r="33" spans="1:11" s="11" customFormat="1" ht="18" customHeight="1" x14ac:dyDescent="0.25">
      <c r="A33" s="12"/>
      <c r="B33" s="98" t="s">
        <v>179</v>
      </c>
      <c r="C33" s="12"/>
      <c r="D33" s="12"/>
      <c r="E33" s="12"/>
      <c r="F33" s="209">
        <v>835</v>
      </c>
      <c r="G33" s="265"/>
      <c r="H33" s="209">
        <v>723</v>
      </c>
      <c r="I33" s="31"/>
      <c r="J33" s="15">
        <v>-0.13</v>
      </c>
      <c r="K33" s="12"/>
    </row>
    <row r="34" spans="1:11" s="11" customFormat="1" ht="18" customHeight="1" x14ac:dyDescent="0.25">
      <c r="A34" s="12"/>
      <c r="B34" s="98" t="s">
        <v>180</v>
      </c>
      <c r="C34" s="12"/>
      <c r="D34" s="12"/>
      <c r="E34" s="12"/>
      <c r="F34" s="91">
        <v>1471</v>
      </c>
      <c r="G34" s="266"/>
      <c r="H34" s="91">
        <v>162</v>
      </c>
      <c r="I34" s="31"/>
      <c r="J34" s="15">
        <v>-0.89</v>
      </c>
      <c r="K34" s="12"/>
    </row>
    <row r="35" spans="1:11" s="11" customFormat="1" ht="18" customHeight="1" x14ac:dyDescent="0.25">
      <c r="A35" s="94" t="s">
        <v>190</v>
      </c>
      <c r="B35" s="94"/>
      <c r="C35" s="94"/>
      <c r="D35" s="94"/>
      <c r="E35" s="29"/>
      <c r="F35" s="267">
        <v>2306</v>
      </c>
      <c r="G35" s="268"/>
      <c r="H35" s="267">
        <v>885</v>
      </c>
      <c r="I35" s="78"/>
      <c r="J35" s="28">
        <v>-0.62</v>
      </c>
      <c r="K35" s="94"/>
    </row>
    <row r="36" spans="1:11" s="11" customFormat="1" ht="25.5" customHeight="1" x14ac:dyDescent="0.25">
      <c r="A36" s="12"/>
      <c r="B36" s="12" t="s">
        <v>191</v>
      </c>
      <c r="C36" s="12"/>
      <c r="D36" s="12"/>
      <c r="E36" s="12"/>
      <c r="F36" s="43"/>
      <c r="G36" s="266"/>
      <c r="H36" s="43"/>
      <c r="I36" s="31"/>
      <c r="J36" s="43"/>
      <c r="K36" s="8"/>
    </row>
    <row r="37" spans="1:11" s="11" customFormat="1" ht="18" customHeight="1" x14ac:dyDescent="0.25">
      <c r="A37" s="12"/>
      <c r="B37" s="98"/>
      <c r="C37" s="12" t="s">
        <v>192</v>
      </c>
      <c r="D37" s="12"/>
      <c r="E37" s="12"/>
      <c r="F37" s="209">
        <v>571</v>
      </c>
      <c r="G37" s="266"/>
      <c r="H37" s="209">
        <v>269</v>
      </c>
      <c r="I37" s="31"/>
      <c r="J37" s="15">
        <v>-0.53</v>
      </c>
      <c r="K37" s="12"/>
    </row>
    <row r="38" spans="1:11" s="11" customFormat="1" ht="18" customHeight="1" x14ac:dyDescent="0.25">
      <c r="A38" s="12"/>
      <c r="B38" s="98"/>
      <c r="C38" s="12" t="s">
        <v>193</v>
      </c>
      <c r="D38" s="12"/>
      <c r="E38" s="12"/>
      <c r="F38" s="91">
        <v>462</v>
      </c>
      <c r="G38" s="266"/>
      <c r="H38" s="91">
        <v>149</v>
      </c>
      <c r="I38" s="31"/>
      <c r="J38" s="15">
        <v>-0.68</v>
      </c>
      <c r="K38" s="12"/>
    </row>
    <row r="39" spans="1:11" s="11" customFormat="1" ht="18" customHeight="1" x14ac:dyDescent="0.25">
      <c r="A39" s="12"/>
      <c r="B39" s="98"/>
      <c r="C39" s="12" t="s">
        <v>194</v>
      </c>
      <c r="D39" s="12"/>
      <c r="E39" s="12"/>
      <c r="F39" s="274">
        <v>520</v>
      </c>
      <c r="G39" s="266"/>
      <c r="H39" s="274">
        <v>227</v>
      </c>
      <c r="I39" s="31"/>
      <c r="J39" s="15">
        <v>-0.56000000000000005</v>
      </c>
      <c r="K39" s="12"/>
    </row>
    <row r="40" spans="1:11" s="11" customFormat="1" ht="18" customHeight="1" x14ac:dyDescent="0.25">
      <c r="A40" s="12"/>
      <c r="B40" s="12" t="s">
        <v>195</v>
      </c>
      <c r="C40" s="12"/>
      <c r="D40" s="12"/>
      <c r="E40" s="12"/>
      <c r="F40" s="91">
        <v>1553</v>
      </c>
      <c r="G40" s="266"/>
      <c r="H40" s="91">
        <v>645</v>
      </c>
      <c r="I40" s="31"/>
      <c r="J40" s="15">
        <v>-0.57999999999999996</v>
      </c>
      <c r="K40" s="12"/>
    </row>
    <row r="41" spans="1:11" s="11" customFormat="1" ht="20.25" customHeight="1" x14ac:dyDescent="0.25">
      <c r="A41" s="12"/>
      <c r="B41" s="98" t="s">
        <v>196</v>
      </c>
      <c r="C41" s="12"/>
      <c r="D41" s="12"/>
      <c r="E41" s="12"/>
      <c r="F41" s="91">
        <v>732</v>
      </c>
      <c r="G41" s="266"/>
      <c r="H41" s="91">
        <v>540</v>
      </c>
      <c r="I41" s="31"/>
      <c r="J41" s="15">
        <v>-0.26</v>
      </c>
      <c r="K41" s="12"/>
    </row>
    <row r="42" spans="1:11" s="11" customFormat="1" ht="20.25" customHeight="1" x14ac:dyDescent="0.25">
      <c r="A42" s="12"/>
      <c r="B42" s="94" t="s">
        <v>197</v>
      </c>
      <c r="C42" s="94"/>
      <c r="D42" s="94"/>
      <c r="E42" s="29"/>
      <c r="F42" s="272">
        <v>2285</v>
      </c>
      <c r="G42" s="268"/>
      <c r="H42" s="272">
        <v>1185</v>
      </c>
      <c r="I42" s="78"/>
      <c r="J42" s="28">
        <v>-0.48</v>
      </c>
      <c r="K42" s="62"/>
    </row>
    <row r="43" spans="1:11" ht="18" customHeight="1" x14ac:dyDescent="0.25">
      <c r="A43" s="12"/>
      <c r="B43" s="12"/>
      <c r="C43" s="111" t="s">
        <v>198</v>
      </c>
      <c r="D43" s="12"/>
      <c r="E43" s="45"/>
      <c r="F43" s="24">
        <v>21</v>
      </c>
      <c r="G43" s="260"/>
      <c r="H43" s="24">
        <v>-300</v>
      </c>
      <c r="I43" s="43"/>
      <c r="J43" s="15" t="s">
        <v>8</v>
      </c>
      <c r="K43" s="12"/>
    </row>
    <row r="44" spans="1:11" ht="18" customHeight="1" x14ac:dyDescent="0.25">
      <c r="A44" s="12"/>
      <c r="B44" s="94" t="s">
        <v>199</v>
      </c>
      <c r="C44" s="223"/>
      <c r="D44" s="223"/>
      <c r="E44" s="62"/>
      <c r="F44" s="177">
        <v>2306</v>
      </c>
      <c r="G44" s="41"/>
      <c r="H44" s="177">
        <v>885</v>
      </c>
      <c r="I44" s="95"/>
      <c r="J44" s="28">
        <v>-0.62</v>
      </c>
      <c r="K44" s="94"/>
    </row>
    <row r="45" spans="1:11" ht="18" customHeight="1" x14ac:dyDescent="0.25">
      <c r="A45" s="190"/>
      <c r="B45" s="190"/>
      <c r="C45" s="190"/>
      <c r="D45" s="190"/>
      <c r="E45" s="190"/>
      <c r="F45" s="190"/>
      <c r="G45" s="190"/>
      <c r="H45" s="190"/>
      <c r="I45" s="270"/>
      <c r="J45" s="270"/>
      <c r="K45" s="12"/>
    </row>
    <row r="46" spans="1:11" s="11" customFormat="1" ht="34.5" customHeight="1" x14ac:dyDescent="0.25">
      <c r="A46" s="12"/>
      <c r="B46" s="159" t="s">
        <v>200</v>
      </c>
      <c r="C46" s="94"/>
      <c r="D46" s="94"/>
      <c r="E46" s="29"/>
      <c r="F46" s="269">
        <v>8908</v>
      </c>
      <c r="G46" s="268"/>
      <c r="H46" s="269">
        <v>9159</v>
      </c>
      <c r="I46" s="78"/>
      <c r="J46" s="28">
        <v>0.03</v>
      </c>
      <c r="K46" s="94"/>
    </row>
    <row r="47" spans="1:11" s="11" customFormat="1" ht="18" customHeight="1" x14ac:dyDescent="0.25">
      <c r="A47" s="12"/>
      <c r="B47" s="275" t="s">
        <v>201</v>
      </c>
      <c r="C47" s="275"/>
      <c r="D47" s="159"/>
      <c r="E47" s="276"/>
      <c r="F47" s="277">
        <v>159</v>
      </c>
      <c r="G47" s="278"/>
      <c r="H47" s="277">
        <v>103</v>
      </c>
      <c r="I47" s="31"/>
      <c r="J47" s="15">
        <v>-0.35</v>
      </c>
      <c r="K47" s="12"/>
    </row>
    <row r="48" spans="1:11" s="11" customFormat="1" ht="11.25" customHeight="1" x14ac:dyDescent="0.25">
      <c r="A48" s="12"/>
      <c r="B48" s="159"/>
      <c r="C48" s="275"/>
      <c r="D48" s="159"/>
      <c r="E48" s="276"/>
      <c r="F48" s="279"/>
      <c r="G48" s="280"/>
      <c r="H48" s="279"/>
      <c r="I48" s="31"/>
      <c r="J48" s="15"/>
      <c r="K48" s="12"/>
    </row>
    <row r="49" spans="1:11" ht="18" customHeight="1" thickBot="1" x14ac:dyDescent="0.3">
      <c r="A49" s="12"/>
      <c r="B49" s="159" t="s">
        <v>202</v>
      </c>
      <c r="C49" s="159"/>
      <c r="D49" s="282"/>
      <c r="E49" s="283"/>
      <c r="F49" s="284">
        <v>9067</v>
      </c>
      <c r="G49" s="285"/>
      <c r="H49" s="284">
        <v>9262</v>
      </c>
      <c r="I49" s="78"/>
      <c r="J49" s="28">
        <v>0.02</v>
      </c>
      <c r="K49" s="94"/>
    </row>
    <row r="50" spans="1:11" ht="9.75" customHeight="1" thickTop="1" x14ac:dyDescent="0.25">
      <c r="A50" s="12"/>
      <c r="B50" s="286"/>
      <c r="C50" s="286"/>
      <c r="D50" s="287"/>
      <c r="E50" s="288"/>
      <c r="F50" s="281"/>
      <c r="G50" s="289"/>
      <c r="H50" s="281"/>
      <c r="I50" s="31"/>
      <c r="J50" s="15"/>
      <c r="K50" s="12"/>
    </row>
    <row r="51" spans="1:11" ht="10.5" customHeight="1" thickBot="1" x14ac:dyDescent="0.3">
      <c r="A51" s="12"/>
      <c r="B51" s="129"/>
      <c r="C51" s="130"/>
      <c r="D51" s="131"/>
      <c r="E51" s="131"/>
      <c r="F51" s="132"/>
      <c r="G51" s="132"/>
      <c r="H51" s="132"/>
      <c r="I51" s="132"/>
      <c r="J51" s="133"/>
      <c r="K51" s="12"/>
    </row>
    <row r="52" spans="1:11" ht="10.5" customHeight="1" thickTop="1" x14ac:dyDescent="0.25">
      <c r="A52" s="12"/>
      <c r="B52" s="127"/>
      <c r="C52" s="12"/>
      <c r="D52" s="56"/>
      <c r="E52" s="8"/>
      <c r="F52" s="281"/>
      <c r="G52" s="266"/>
      <c r="H52" s="281"/>
      <c r="I52" s="31"/>
      <c r="J52" s="15"/>
      <c r="K52" s="12"/>
    </row>
    <row r="53" spans="1:11" ht="18" customHeight="1" x14ac:dyDescent="0.25">
      <c r="A53" s="12"/>
      <c r="B53" s="134" t="s">
        <v>61</v>
      </c>
      <c r="C53" s="12" t="s">
        <v>203</v>
      </c>
      <c r="D53" s="56"/>
      <c r="E53" s="8"/>
      <c r="F53" s="281"/>
      <c r="G53" s="266"/>
      <c r="H53" s="281"/>
      <c r="I53" s="31"/>
      <c r="J53" s="15"/>
      <c r="K53" s="12"/>
    </row>
    <row r="54" spans="1:11" ht="18" customHeight="1" x14ac:dyDescent="0.25">
      <c r="A54" s="12"/>
      <c r="B54" s="134"/>
      <c r="C54" s="12" t="s">
        <v>204</v>
      </c>
      <c r="D54" s="56"/>
      <c r="E54" s="8"/>
      <c r="F54" s="281"/>
      <c r="G54" s="266"/>
      <c r="H54" s="281"/>
      <c r="I54" s="31"/>
      <c r="J54" s="15"/>
      <c r="K54" s="12"/>
    </row>
    <row r="55" spans="1:11" ht="18" customHeight="1" x14ac:dyDescent="0.25">
      <c r="A55" s="12"/>
      <c r="B55" s="134"/>
      <c r="C55" s="12" t="s">
        <v>205</v>
      </c>
      <c r="D55" s="56"/>
      <c r="E55" s="8"/>
      <c r="F55" s="281"/>
      <c r="G55" s="266"/>
      <c r="H55" s="281"/>
      <c r="I55" s="31"/>
      <c r="J55" s="15"/>
      <c r="K55" s="12"/>
    </row>
    <row r="56" spans="1:11" ht="18" customHeight="1" x14ac:dyDescent="0.25">
      <c r="A56" s="12"/>
      <c r="B56" s="134"/>
      <c r="C56" s="12" t="s">
        <v>206</v>
      </c>
      <c r="D56" s="56"/>
      <c r="E56" s="8"/>
      <c r="F56" s="281"/>
      <c r="G56" s="266"/>
      <c r="H56" s="281"/>
      <c r="I56" s="31"/>
      <c r="J56" s="15"/>
      <c r="K56" s="12"/>
    </row>
    <row r="57" spans="1:11" ht="18" customHeight="1" x14ac:dyDescent="0.25">
      <c r="A57" s="12"/>
      <c r="B57" s="134"/>
      <c r="C57" s="12" t="s">
        <v>207</v>
      </c>
      <c r="D57" s="56"/>
      <c r="E57" s="8"/>
      <c r="F57" s="281"/>
      <c r="G57" s="266"/>
      <c r="H57" s="281"/>
      <c r="I57" s="31"/>
      <c r="J57" s="15"/>
      <c r="K57" s="12"/>
    </row>
    <row r="58" spans="1:11" ht="18" customHeight="1" x14ac:dyDescent="0.25">
      <c r="A58" s="12"/>
      <c r="B58" s="134" t="s">
        <v>63</v>
      </c>
      <c r="C58" s="12" t="s">
        <v>208</v>
      </c>
      <c r="D58" s="56"/>
      <c r="E58" s="8"/>
      <c r="F58" s="281"/>
      <c r="G58" s="266"/>
      <c r="H58" s="281"/>
      <c r="I58" s="31"/>
      <c r="J58" s="15"/>
      <c r="K58" s="12"/>
    </row>
    <row r="59" spans="1:11" ht="18" customHeight="1" x14ac:dyDescent="0.25">
      <c r="A59" s="12"/>
      <c r="B59" s="127"/>
      <c r="C59" s="12"/>
      <c r="D59" s="56"/>
      <c r="E59" s="8"/>
      <c r="F59" s="281"/>
      <c r="G59" s="266"/>
      <c r="H59" s="281"/>
      <c r="I59" s="31"/>
      <c r="J59" s="15"/>
      <c r="K59" s="12"/>
    </row>
    <row r="60" spans="1:11" ht="18" customHeight="1" x14ac:dyDescent="0.25">
      <c r="A60" s="12"/>
      <c r="B60" s="12" t="s">
        <v>71</v>
      </c>
      <c r="C60" s="12"/>
      <c r="D60" s="12"/>
      <c r="E60" s="8"/>
      <c r="F60" s="281"/>
      <c r="G60" s="266"/>
      <c r="H60" s="281"/>
      <c r="I60" s="31"/>
      <c r="J60" s="15"/>
      <c r="K60" s="12"/>
    </row>
    <row r="61" spans="1:11" ht="18" customHeight="1" x14ac:dyDescent="0.25">
      <c r="A61" s="12"/>
      <c r="B61" s="12" t="s">
        <v>72</v>
      </c>
      <c r="C61" s="290"/>
      <c r="D61" s="290"/>
      <c r="E61" s="290"/>
      <c r="F61" s="69"/>
      <c r="G61" s="104"/>
      <c r="H61" s="69"/>
      <c r="I61" s="69"/>
      <c r="J61" s="291"/>
      <c r="K61" s="12"/>
    </row>
    <row r="62" spans="1:11" ht="18" customHeight="1" x14ac:dyDescent="0.25">
      <c r="A62" s="12"/>
      <c r="B62" s="12"/>
      <c r="C62" s="290"/>
      <c r="D62" s="290"/>
      <c r="E62" s="290"/>
      <c r="F62" s="69"/>
      <c r="G62" s="104"/>
      <c r="H62" s="69"/>
      <c r="I62" s="69"/>
      <c r="J62" s="291"/>
      <c r="K62" s="12"/>
    </row>
    <row r="63" spans="1:11" ht="18" customHeight="1" x14ac:dyDescent="0.25">
      <c r="A63" s="12"/>
      <c r="B63" s="12"/>
      <c r="C63" s="290"/>
      <c r="D63" s="290"/>
      <c r="E63" s="290"/>
      <c r="F63" s="69"/>
      <c r="G63" s="104"/>
      <c r="H63" s="69"/>
      <c r="I63" s="69"/>
      <c r="J63" s="291"/>
      <c r="K63" s="12"/>
    </row>
    <row r="64" spans="1:11" ht="18" customHeight="1" x14ac:dyDescent="0.25">
      <c r="A64" s="12"/>
      <c r="B64" s="12"/>
      <c r="C64" s="290"/>
      <c r="D64" s="290"/>
      <c r="E64" s="290"/>
      <c r="F64" s="69"/>
      <c r="G64" s="104"/>
      <c r="H64" s="69"/>
      <c r="I64" s="69"/>
      <c r="J64" s="291"/>
      <c r="K64" s="12"/>
    </row>
    <row r="65" spans="1:11" ht="18" customHeight="1" x14ac:dyDescent="0.25">
      <c r="A65" s="12"/>
      <c r="B65" s="12"/>
      <c r="C65" s="290"/>
      <c r="D65" s="290"/>
      <c r="E65" s="290"/>
      <c r="F65" s="69"/>
      <c r="G65" s="104"/>
      <c r="H65" s="69"/>
      <c r="I65" s="69"/>
      <c r="J65" s="291"/>
      <c r="K65" s="12"/>
    </row>
    <row r="66" spans="1:11" ht="18" customHeight="1" x14ac:dyDescent="0.25">
      <c r="A66" s="12"/>
      <c r="B66" s="12"/>
      <c r="C66" s="290"/>
      <c r="D66" s="290"/>
      <c r="E66" s="290"/>
      <c r="F66" s="69"/>
      <c r="G66" s="104"/>
      <c r="H66" s="69"/>
      <c r="I66" s="69"/>
      <c r="J66" s="291"/>
      <c r="K66" s="12"/>
    </row>
  </sheetData>
  <pageMargins left="0" right="0" top="0.06" bottom="0.06" header="0" footer="0"/>
  <pageSetup scale="41" orientation="landscape" r:id="rId1"/>
  <headerFooter alignWithMargins="0">
    <oddFooter>&amp;R&amp;"Times New Roman,Bold"&amp;18Page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showGridLines="0" zoomScale="90" workbookViewId="0">
      <pane xSplit="5" ySplit="5" topLeftCell="F6" activePane="bottomRight" state="frozen"/>
      <selection activeCell="F8" sqref="F8"/>
      <selection pane="topRight" activeCell="F8" sqref="F8"/>
      <selection pane="bottomLeft" activeCell="F8" sqref="F8"/>
      <selection pane="bottomRight" activeCell="J5" sqref="J5"/>
    </sheetView>
  </sheetViews>
  <sheetFormatPr defaultRowHeight="15" x14ac:dyDescent="0.2"/>
  <cols>
    <col min="1" max="3" width="4.83203125" style="11" customWidth="1"/>
    <col min="4" max="4" width="94.1640625" style="11" customWidth="1"/>
    <col min="5" max="5" width="6.33203125" style="11" customWidth="1"/>
    <col min="6" max="6" width="18.83203125" style="11" customWidth="1"/>
    <col min="7" max="7" width="2.83203125" style="136" customWidth="1"/>
    <col min="8" max="8" width="15" style="136" customWidth="1"/>
    <col min="9" max="9" width="2.83203125" style="136" customWidth="1"/>
    <col min="10" max="10" width="29.5" style="11" customWidth="1"/>
    <col min="11" max="11" width="6.33203125" style="11" customWidth="1"/>
    <col min="12" max="16384" width="9.33203125" style="11"/>
  </cols>
  <sheetData>
    <row r="1" spans="1:12" ht="18" customHeight="1" x14ac:dyDescent="0.2">
      <c r="D1" s="10"/>
      <c r="E1" s="147"/>
      <c r="F1" s="10"/>
      <c r="G1" s="148"/>
      <c r="H1" s="148"/>
      <c r="I1" s="148"/>
      <c r="J1" s="18"/>
      <c r="K1" s="18"/>
      <c r="L1" s="19"/>
    </row>
    <row r="2" spans="1:12" ht="10.5" customHeight="1" x14ac:dyDescent="0.3">
      <c r="B2" s="34"/>
      <c r="C2" s="149"/>
      <c r="D2" s="150"/>
      <c r="E2" s="147"/>
      <c r="F2" s="150"/>
      <c r="G2" s="150"/>
      <c r="H2" s="150"/>
      <c r="I2" s="150"/>
      <c r="J2" s="151"/>
      <c r="K2" s="151"/>
      <c r="L2" s="19"/>
    </row>
    <row r="3" spans="1:12" ht="24" customHeight="1" x14ac:dyDescent="0.3">
      <c r="B3" s="135" t="s">
        <v>209</v>
      </c>
      <c r="C3" s="149"/>
      <c r="D3" s="150"/>
      <c r="E3" s="147"/>
      <c r="F3" s="150"/>
      <c r="G3" s="150"/>
      <c r="H3" s="153"/>
      <c r="I3" s="153"/>
      <c r="J3" s="87"/>
      <c r="K3" s="87"/>
      <c r="L3" s="12"/>
    </row>
    <row r="4" spans="1:12" ht="18" customHeight="1" x14ac:dyDescent="0.25">
      <c r="A4" s="2"/>
      <c r="B4" s="36" t="s">
        <v>141</v>
      </c>
      <c r="C4" s="211"/>
      <c r="D4" s="153"/>
      <c r="E4" s="238"/>
      <c r="F4" s="8"/>
      <c r="G4" s="40"/>
      <c r="H4" s="8"/>
      <c r="I4" s="8"/>
      <c r="J4" s="8"/>
      <c r="K4" s="8"/>
      <c r="L4" s="12"/>
    </row>
    <row r="5" spans="1:12" ht="54" x14ac:dyDescent="0.25">
      <c r="A5" s="2"/>
      <c r="B5" s="2"/>
      <c r="C5" s="2"/>
      <c r="D5" s="2"/>
      <c r="E5" s="9"/>
      <c r="F5" s="355" t="s">
        <v>2</v>
      </c>
      <c r="G5" s="355"/>
      <c r="H5" s="355" t="s">
        <v>1</v>
      </c>
      <c r="I5" s="40"/>
      <c r="J5" s="356" t="s">
        <v>3</v>
      </c>
      <c r="K5" s="45"/>
      <c r="L5" s="12"/>
    </row>
    <row r="6" spans="1:12" ht="12" customHeight="1" x14ac:dyDescent="0.25">
      <c r="A6" s="2"/>
      <c r="B6" s="2"/>
      <c r="C6" s="2"/>
      <c r="D6" s="2"/>
      <c r="E6" s="9"/>
      <c r="F6" s="43"/>
      <c r="G6" s="154"/>
      <c r="H6" s="43"/>
      <c r="I6" s="154"/>
      <c r="J6" s="43"/>
      <c r="K6" s="44"/>
      <c r="L6" s="8"/>
    </row>
    <row r="7" spans="1:12" s="19" customFormat="1" ht="18" customHeight="1" x14ac:dyDescent="0.25">
      <c r="A7" s="12"/>
      <c r="B7" s="98" t="s">
        <v>179</v>
      </c>
      <c r="C7" s="12"/>
      <c r="D7" s="12"/>
      <c r="E7" s="8"/>
      <c r="F7" s="155">
        <v>5322</v>
      </c>
      <c r="G7" s="239"/>
      <c r="H7" s="155">
        <v>5866</v>
      </c>
      <c r="I7" s="32"/>
      <c r="J7" s="15">
        <v>0.1</v>
      </c>
      <c r="K7" s="240"/>
      <c r="L7" s="12"/>
    </row>
    <row r="8" spans="1:12" s="19" customFormat="1" ht="18" customHeight="1" x14ac:dyDescent="0.25">
      <c r="A8" s="12"/>
      <c r="B8" s="98" t="s">
        <v>180</v>
      </c>
      <c r="C8" s="12"/>
      <c r="D8" s="12"/>
      <c r="E8" s="8"/>
      <c r="F8" s="208">
        <v>463</v>
      </c>
      <c r="G8" s="29"/>
      <c r="H8" s="208">
        <v>230</v>
      </c>
      <c r="I8" s="8"/>
      <c r="J8" s="15">
        <v>-0.5</v>
      </c>
      <c r="K8" s="240"/>
      <c r="L8" s="12"/>
    </row>
    <row r="9" spans="1:12" ht="18" customHeight="1" x14ac:dyDescent="0.25">
      <c r="A9" s="2"/>
      <c r="B9" s="46" t="s">
        <v>210</v>
      </c>
      <c r="C9" s="241"/>
      <c r="D9" s="241"/>
      <c r="E9" s="74"/>
      <c r="F9" s="197">
        <v>5785</v>
      </c>
      <c r="G9" s="74"/>
      <c r="H9" s="197">
        <v>6096</v>
      </c>
      <c r="I9" s="74"/>
      <c r="J9" s="28">
        <v>0.05</v>
      </c>
      <c r="K9" s="30"/>
      <c r="L9" s="62"/>
    </row>
    <row r="10" spans="1:12" ht="18" customHeight="1" x14ac:dyDescent="0.25">
      <c r="A10" s="2"/>
      <c r="B10" s="39" t="s">
        <v>10</v>
      </c>
      <c r="C10" s="47"/>
      <c r="D10" s="47"/>
      <c r="E10" s="3"/>
      <c r="F10" s="198">
        <v>4017</v>
      </c>
      <c r="G10" s="74"/>
      <c r="H10" s="198">
        <v>4307</v>
      </c>
      <c r="I10" s="74"/>
      <c r="J10" s="15">
        <v>7.0000000000000007E-2</v>
      </c>
      <c r="K10" s="116"/>
      <c r="L10" s="9"/>
    </row>
    <row r="11" spans="1:12" ht="25.5" customHeight="1" x14ac:dyDescent="0.25">
      <c r="A11" s="2"/>
      <c r="B11" s="39"/>
      <c r="C11" s="39" t="s">
        <v>147</v>
      </c>
      <c r="D11" s="47"/>
      <c r="E11" s="3"/>
      <c r="F11" s="198">
        <v>568</v>
      </c>
      <c r="G11" s="74"/>
      <c r="H11" s="198">
        <v>908</v>
      </c>
      <c r="I11" s="74"/>
      <c r="J11" s="15">
        <v>0.6</v>
      </c>
      <c r="K11" s="116"/>
      <c r="L11" s="72"/>
    </row>
    <row r="12" spans="1:12" ht="18" customHeight="1" x14ac:dyDescent="0.25">
      <c r="A12" s="2"/>
      <c r="B12" s="39"/>
      <c r="C12" s="39" t="s">
        <v>40</v>
      </c>
      <c r="D12" s="47"/>
      <c r="E12" s="3"/>
      <c r="F12" s="198">
        <v>-866</v>
      </c>
      <c r="G12" s="74"/>
      <c r="H12" s="198">
        <v>771</v>
      </c>
      <c r="I12" s="74"/>
      <c r="J12" s="15" t="s">
        <v>8</v>
      </c>
      <c r="K12" s="116"/>
      <c r="L12" s="8"/>
    </row>
    <row r="13" spans="1:12" ht="18" customHeight="1" x14ac:dyDescent="0.25">
      <c r="A13" s="2"/>
      <c r="B13" s="39"/>
      <c r="C13" s="39" t="s">
        <v>45</v>
      </c>
      <c r="D13" s="47"/>
      <c r="E13" s="198"/>
      <c r="F13" s="198">
        <v>-3</v>
      </c>
      <c r="G13" s="74"/>
      <c r="H13" s="198">
        <v>-19</v>
      </c>
      <c r="I13" s="74"/>
      <c r="J13" s="15" t="s">
        <v>8</v>
      </c>
      <c r="K13" s="116"/>
      <c r="L13" s="8"/>
    </row>
    <row r="14" spans="1:12" ht="18" customHeight="1" x14ac:dyDescent="0.25">
      <c r="A14" s="2"/>
      <c r="B14" s="39"/>
      <c r="C14" s="39" t="s">
        <v>211</v>
      </c>
      <c r="D14" s="47"/>
      <c r="E14" s="3"/>
      <c r="F14" s="199">
        <v>5</v>
      </c>
      <c r="G14" s="74"/>
      <c r="H14" s="199">
        <v>6</v>
      </c>
      <c r="I14" s="74"/>
      <c r="J14" s="15">
        <v>0.2</v>
      </c>
      <c r="K14" s="116"/>
      <c r="L14" s="8"/>
    </row>
    <row r="15" spans="1:12" ht="18" customHeight="1" x14ac:dyDescent="0.25">
      <c r="A15" s="2"/>
      <c r="B15" s="39" t="s">
        <v>212</v>
      </c>
      <c r="C15" s="47"/>
      <c r="D15" s="47"/>
      <c r="E15" s="3"/>
      <c r="F15" s="200">
        <v>-296</v>
      </c>
      <c r="G15" s="74"/>
      <c r="H15" s="200">
        <v>1666</v>
      </c>
      <c r="I15" s="74"/>
      <c r="J15" s="15" t="s">
        <v>8</v>
      </c>
      <c r="K15" s="116"/>
      <c r="L15" s="72"/>
    </row>
    <row r="16" spans="1:12" ht="18" customHeight="1" x14ac:dyDescent="0.25">
      <c r="A16" s="2"/>
      <c r="B16" s="39" t="s">
        <v>213</v>
      </c>
      <c r="C16" s="47"/>
      <c r="D16" s="47"/>
      <c r="E16" s="3"/>
      <c r="F16" s="201">
        <v>2064</v>
      </c>
      <c r="G16" s="74"/>
      <c r="H16" s="201">
        <v>123</v>
      </c>
      <c r="I16" s="74"/>
      <c r="J16" s="15">
        <v>-0.94</v>
      </c>
      <c r="K16" s="116"/>
      <c r="L16" s="2"/>
    </row>
    <row r="17" spans="1:12" ht="18" customHeight="1" x14ac:dyDescent="0.25">
      <c r="A17" s="2"/>
      <c r="B17" s="39" t="s">
        <v>214</v>
      </c>
      <c r="C17" s="47"/>
      <c r="D17" s="47"/>
      <c r="E17" s="3"/>
      <c r="F17" s="199">
        <v>451</v>
      </c>
      <c r="G17" s="74"/>
      <c r="H17" s="199">
        <v>9</v>
      </c>
      <c r="I17" s="74"/>
      <c r="J17" s="15">
        <v>-0.98</v>
      </c>
      <c r="K17" s="116"/>
      <c r="L17" s="2"/>
    </row>
    <row r="18" spans="1:12" s="97" customFormat="1" ht="18" customHeight="1" x14ac:dyDescent="0.25">
      <c r="A18" s="93"/>
      <c r="B18" s="46" t="s">
        <v>54</v>
      </c>
      <c r="C18" s="241"/>
      <c r="D18" s="241"/>
      <c r="E18" s="74"/>
      <c r="F18" s="197">
        <v>1613</v>
      </c>
      <c r="G18" s="74"/>
      <c r="H18" s="197">
        <v>114</v>
      </c>
      <c r="I18" s="74"/>
      <c r="J18" s="28">
        <v>-0.93</v>
      </c>
      <c r="K18" s="30"/>
      <c r="L18" s="93"/>
    </row>
    <row r="19" spans="1:12" ht="18" customHeight="1" x14ac:dyDescent="0.25">
      <c r="A19" s="2"/>
      <c r="B19" s="39" t="s">
        <v>120</v>
      </c>
      <c r="C19" s="47"/>
      <c r="D19" s="47"/>
      <c r="E19" s="3"/>
      <c r="F19" s="202">
        <v>0</v>
      </c>
      <c r="G19" s="74"/>
      <c r="H19" s="202">
        <v>0</v>
      </c>
      <c r="I19" s="74"/>
      <c r="J19" s="15" t="s">
        <v>36</v>
      </c>
      <c r="K19" s="116"/>
      <c r="L19" s="2"/>
    </row>
    <row r="20" spans="1:12" s="97" customFormat="1" ht="18" customHeight="1" thickBot="1" x14ac:dyDescent="0.3">
      <c r="A20" s="93"/>
      <c r="B20" s="46" t="s">
        <v>215</v>
      </c>
      <c r="C20" s="241"/>
      <c r="D20" s="241"/>
      <c r="E20" s="74"/>
      <c r="F20" s="203">
        <v>1613</v>
      </c>
      <c r="G20" s="74"/>
      <c r="H20" s="203">
        <v>114</v>
      </c>
      <c r="I20" s="74"/>
      <c r="J20" s="28">
        <v>-0.93</v>
      </c>
      <c r="K20" s="30"/>
      <c r="L20" s="93"/>
    </row>
    <row r="21" spans="1:12" s="97" customFormat="1" ht="18" customHeight="1" thickTop="1" x14ac:dyDescent="0.25">
      <c r="A21" s="93"/>
      <c r="B21" s="39" t="s">
        <v>152</v>
      </c>
      <c r="C21" s="241"/>
      <c r="D21" s="241"/>
      <c r="E21" s="74"/>
      <c r="F21" s="204">
        <v>464</v>
      </c>
      <c r="G21" s="3"/>
      <c r="H21" s="204">
        <v>494</v>
      </c>
      <c r="I21" s="3"/>
      <c r="J21" s="15">
        <v>0.06</v>
      </c>
      <c r="K21" s="242"/>
      <c r="L21" s="2"/>
    </row>
    <row r="22" spans="1:12" ht="18" customHeight="1" x14ac:dyDescent="0.25">
      <c r="A22" s="2"/>
      <c r="B22" s="39" t="s">
        <v>153</v>
      </c>
      <c r="C22" s="47"/>
      <c r="D22" s="47"/>
      <c r="E22" s="22"/>
      <c r="F22" s="24">
        <v>476</v>
      </c>
      <c r="G22" s="164"/>
      <c r="H22" s="24">
        <v>484</v>
      </c>
      <c r="I22" s="118"/>
      <c r="J22" s="15">
        <v>0.02</v>
      </c>
      <c r="K22" s="242"/>
      <c r="L22" s="2"/>
    </row>
    <row r="23" spans="1:12" ht="18" customHeight="1" x14ac:dyDescent="0.25">
      <c r="A23" s="2"/>
      <c r="B23" s="39" t="s">
        <v>154</v>
      </c>
      <c r="C23" s="47"/>
      <c r="D23" s="47"/>
      <c r="E23" s="3"/>
      <c r="F23" s="146">
        <v>0.69</v>
      </c>
      <c r="G23" s="4"/>
      <c r="H23" s="146">
        <v>0.71</v>
      </c>
      <c r="I23" s="4"/>
      <c r="J23" s="351">
        <v>200</v>
      </c>
      <c r="K23" s="309"/>
      <c r="L23" s="308"/>
    </row>
    <row r="24" spans="1:12" ht="9.75" customHeight="1" x14ac:dyDescent="0.25">
      <c r="A24" s="2"/>
      <c r="B24" s="39"/>
      <c r="C24" s="47"/>
      <c r="D24" s="47"/>
      <c r="E24" s="3"/>
      <c r="F24" s="7"/>
      <c r="G24" s="4"/>
      <c r="H24" s="7"/>
      <c r="I24" s="4"/>
      <c r="J24" s="5"/>
      <c r="K24" s="256"/>
      <c r="L24" s="2"/>
    </row>
    <row r="25" spans="1:12" ht="11.25" customHeight="1" x14ac:dyDescent="0.25">
      <c r="A25" s="2"/>
      <c r="B25" s="39"/>
      <c r="C25" s="47"/>
      <c r="D25" s="47"/>
      <c r="E25" s="3"/>
      <c r="F25" s="7"/>
      <c r="G25" s="4"/>
      <c r="H25" s="7"/>
      <c r="I25" s="4"/>
      <c r="J25" s="5"/>
      <c r="K25" s="256"/>
      <c r="L25" s="2"/>
    </row>
    <row r="26" spans="1:12" ht="18" customHeight="1" x14ac:dyDescent="0.3">
      <c r="A26" s="2"/>
      <c r="B26" s="93" t="s">
        <v>216</v>
      </c>
      <c r="C26" s="2"/>
      <c r="D26" s="2"/>
      <c r="E26" s="141"/>
      <c r="F26" s="205"/>
      <c r="G26" s="212"/>
      <c r="H26" s="205"/>
      <c r="I26" s="105"/>
      <c r="J26" s="2"/>
      <c r="K26" s="257"/>
      <c r="L26" s="2"/>
    </row>
    <row r="27" spans="1:12" ht="18" customHeight="1" x14ac:dyDescent="0.3">
      <c r="A27" s="2"/>
      <c r="B27" s="93"/>
      <c r="C27" s="2"/>
      <c r="D27" s="2" t="s">
        <v>217</v>
      </c>
      <c r="E27" s="141"/>
      <c r="F27" s="99">
        <v>2073</v>
      </c>
      <c r="G27" s="99"/>
      <c r="H27" s="99">
        <v>2376</v>
      </c>
      <c r="I27" s="105"/>
      <c r="J27" s="15">
        <v>0.15</v>
      </c>
      <c r="K27" s="116"/>
      <c r="L27" s="2"/>
    </row>
    <row r="28" spans="1:12" ht="18" customHeight="1" x14ac:dyDescent="0.3">
      <c r="A28" s="2"/>
      <c r="B28" s="93"/>
      <c r="C28" s="2"/>
      <c r="D28" s="2" t="s">
        <v>218</v>
      </c>
      <c r="E28" s="141"/>
      <c r="F28" s="101">
        <v>1290</v>
      </c>
      <c r="G28" s="101"/>
      <c r="H28" s="101">
        <v>1420</v>
      </c>
      <c r="I28" s="105"/>
      <c r="J28" s="15">
        <v>0.1</v>
      </c>
      <c r="K28" s="116"/>
      <c r="L28" s="2"/>
    </row>
    <row r="29" spans="1:12" ht="18" customHeight="1" x14ac:dyDescent="0.3">
      <c r="A29" s="2"/>
      <c r="B29" s="93"/>
      <c r="C29" s="2"/>
      <c r="D29" s="2" t="s">
        <v>219</v>
      </c>
      <c r="E29" s="141"/>
      <c r="F29" s="101">
        <v>624</v>
      </c>
      <c r="G29" s="101"/>
      <c r="H29" s="101">
        <v>608</v>
      </c>
      <c r="I29" s="105"/>
      <c r="J29" s="15">
        <v>-0.03</v>
      </c>
      <c r="K29" s="116"/>
      <c r="L29" s="2"/>
    </row>
    <row r="30" spans="1:12" s="19" customFormat="1" ht="18" customHeight="1" x14ac:dyDescent="0.3">
      <c r="A30" s="12"/>
      <c r="B30" s="12"/>
      <c r="C30" s="12" t="s">
        <v>220</v>
      </c>
      <c r="D30" s="12"/>
      <c r="E30" s="14"/>
      <c r="F30" s="168">
        <v>3987</v>
      </c>
      <c r="G30" s="8"/>
      <c r="H30" s="168">
        <v>4404</v>
      </c>
      <c r="I30" s="27"/>
      <c r="J30" s="15">
        <v>0.1</v>
      </c>
      <c r="K30" s="116"/>
      <c r="L30" s="2"/>
    </row>
    <row r="31" spans="1:12" ht="18" customHeight="1" x14ac:dyDescent="0.3">
      <c r="A31" s="2"/>
      <c r="B31" s="93"/>
      <c r="C31" s="2"/>
      <c r="D31" s="2" t="s">
        <v>221</v>
      </c>
      <c r="E31" s="141"/>
      <c r="F31" s="101">
        <v>688</v>
      </c>
      <c r="G31" s="101"/>
      <c r="H31" s="101">
        <v>589</v>
      </c>
      <c r="I31" s="105"/>
      <c r="J31" s="15">
        <v>-0.14000000000000001</v>
      </c>
      <c r="K31" s="116"/>
      <c r="L31" s="2"/>
    </row>
    <row r="32" spans="1:12" ht="18" customHeight="1" x14ac:dyDescent="0.3">
      <c r="A32" s="2"/>
      <c r="B32" s="93"/>
      <c r="C32" s="2"/>
      <c r="D32" s="2" t="s">
        <v>222</v>
      </c>
      <c r="E32" s="141"/>
      <c r="F32" s="101">
        <v>177</v>
      </c>
      <c r="G32" s="101"/>
      <c r="H32" s="101">
        <v>195</v>
      </c>
      <c r="I32" s="105"/>
      <c r="J32" s="15">
        <v>0.1</v>
      </c>
      <c r="K32" s="116"/>
      <c r="L32" s="2"/>
    </row>
    <row r="33" spans="1:12" ht="18" customHeight="1" x14ac:dyDescent="0.3">
      <c r="A33" s="2"/>
      <c r="B33" s="93"/>
      <c r="C33" s="2"/>
      <c r="D33" s="2" t="s">
        <v>223</v>
      </c>
      <c r="E33" s="141"/>
      <c r="F33" s="170">
        <v>933</v>
      </c>
      <c r="G33" s="101"/>
      <c r="H33" s="170">
        <v>908</v>
      </c>
      <c r="I33" s="105"/>
      <c r="J33" s="15">
        <v>-0.03</v>
      </c>
      <c r="K33" s="116"/>
      <c r="L33" s="2"/>
    </row>
    <row r="34" spans="1:12" s="19" customFormat="1" ht="20.25" customHeight="1" x14ac:dyDescent="0.3">
      <c r="A34" s="12"/>
      <c r="B34" s="12"/>
      <c r="C34" s="12" t="s">
        <v>224</v>
      </c>
      <c r="D34" s="12"/>
      <c r="E34" s="14"/>
      <c r="F34" s="65">
        <v>1798</v>
      </c>
      <c r="G34" s="26"/>
      <c r="H34" s="65">
        <v>1692</v>
      </c>
      <c r="I34" s="105"/>
      <c r="J34" s="15">
        <v>-0.06</v>
      </c>
      <c r="K34" s="116"/>
      <c r="L34" s="2"/>
    </row>
    <row r="35" spans="1:12" ht="18.75" customHeight="1" thickBot="1" x14ac:dyDescent="0.35">
      <c r="A35" s="2"/>
      <c r="B35" s="93"/>
      <c r="C35" s="39"/>
      <c r="D35" s="39" t="s">
        <v>186</v>
      </c>
      <c r="E35" s="141"/>
      <c r="F35" s="163">
        <v>5785</v>
      </c>
      <c r="G35" s="142"/>
      <c r="H35" s="163">
        <v>6096</v>
      </c>
      <c r="I35" s="105"/>
      <c r="J35" s="15">
        <v>0.05</v>
      </c>
      <c r="K35" s="257"/>
      <c r="L35" s="2"/>
    </row>
    <row r="36" spans="1:12" s="19" customFormat="1" ht="22.5" customHeight="1" thickTop="1" x14ac:dyDescent="0.3">
      <c r="A36" s="12"/>
      <c r="B36" s="12"/>
      <c r="C36" s="2"/>
      <c r="D36" s="2"/>
      <c r="E36" s="14"/>
      <c r="F36" s="17"/>
      <c r="G36" s="212"/>
      <c r="H36" s="17"/>
      <c r="I36" s="105"/>
      <c r="J36" s="15"/>
      <c r="K36" s="116"/>
      <c r="L36" s="2"/>
    </row>
    <row r="37" spans="1:12" ht="18" customHeight="1" x14ac:dyDescent="0.3">
      <c r="A37" s="2"/>
      <c r="B37" s="93" t="s">
        <v>165</v>
      </c>
      <c r="C37" s="2"/>
      <c r="D37" s="2"/>
      <c r="E37" s="141"/>
      <c r="F37" s="205"/>
      <c r="G37" s="212"/>
      <c r="H37" s="205"/>
      <c r="I37" s="105"/>
      <c r="J37" s="2"/>
      <c r="K37" s="257"/>
      <c r="L37" s="2"/>
    </row>
    <row r="38" spans="1:12" s="19" customFormat="1" ht="18" customHeight="1" x14ac:dyDescent="0.25">
      <c r="A38" s="12"/>
      <c r="B38" s="33"/>
      <c r="C38" s="111" t="s">
        <v>220</v>
      </c>
      <c r="D38" s="33"/>
      <c r="E38" s="8"/>
      <c r="F38" s="107">
        <v>162</v>
      </c>
      <c r="G38" s="258"/>
      <c r="H38" s="107">
        <v>180</v>
      </c>
      <c r="I38" s="259"/>
      <c r="J38" s="15">
        <v>0.11</v>
      </c>
      <c r="K38" s="64"/>
      <c r="L38" s="12"/>
    </row>
    <row r="39" spans="1:12" s="19" customFormat="1" ht="18" customHeight="1" x14ac:dyDescent="0.25">
      <c r="A39" s="12"/>
      <c r="B39" s="12"/>
      <c r="C39" s="111" t="s">
        <v>224</v>
      </c>
      <c r="D39" s="12"/>
      <c r="E39" s="45"/>
      <c r="F39" s="24">
        <v>150</v>
      </c>
      <c r="G39" s="260"/>
      <c r="H39" s="24">
        <v>150</v>
      </c>
      <c r="I39" s="43"/>
      <c r="J39" s="15" t="s">
        <v>36</v>
      </c>
      <c r="K39" s="64"/>
      <c r="L39" s="12"/>
    </row>
    <row r="40" spans="1:12" s="19" customFormat="1" ht="18" customHeight="1" thickBot="1" x14ac:dyDescent="0.35">
      <c r="A40" s="12"/>
      <c r="B40" s="12"/>
      <c r="C40" s="2"/>
      <c r="D40" s="2" t="s">
        <v>166</v>
      </c>
      <c r="E40" s="14"/>
      <c r="F40" s="163">
        <v>312</v>
      </c>
      <c r="G40" s="212"/>
      <c r="H40" s="163">
        <v>330</v>
      </c>
      <c r="I40" s="105"/>
      <c r="J40" s="15">
        <v>0.06</v>
      </c>
      <c r="K40" s="116"/>
      <c r="L40" s="2"/>
    </row>
    <row r="41" spans="1:12" s="19" customFormat="1" ht="18" customHeight="1" thickTop="1" x14ac:dyDescent="0.3">
      <c r="A41" s="12"/>
      <c r="B41" s="12"/>
      <c r="C41" s="2"/>
      <c r="D41" s="2"/>
      <c r="E41" s="14"/>
      <c r="F41" s="17"/>
      <c r="G41" s="212"/>
      <c r="H41" s="17"/>
      <c r="I41" s="105"/>
      <c r="J41" s="15"/>
      <c r="K41" s="116"/>
      <c r="L41" s="2"/>
    </row>
    <row r="42" spans="1:12" ht="18" customHeight="1" x14ac:dyDescent="0.3">
      <c r="A42" s="2"/>
      <c r="B42" s="93" t="s">
        <v>225</v>
      </c>
      <c r="C42" s="2"/>
      <c r="D42" s="2"/>
      <c r="E42" s="141"/>
      <c r="F42" s="205"/>
      <c r="G42" s="212"/>
      <c r="H42" s="205"/>
      <c r="I42" s="105"/>
      <c r="J42" s="2"/>
      <c r="K42" s="257"/>
      <c r="L42" s="2"/>
    </row>
    <row r="43" spans="1:12" s="19" customFormat="1" ht="18" customHeight="1" x14ac:dyDescent="0.25">
      <c r="A43" s="12"/>
      <c r="B43" s="33"/>
      <c r="C43" s="111" t="s">
        <v>220</v>
      </c>
      <c r="D43" s="33"/>
      <c r="E43" s="8"/>
      <c r="F43" s="107">
        <v>114</v>
      </c>
      <c r="G43" s="258"/>
      <c r="H43" s="107">
        <v>111</v>
      </c>
      <c r="I43" s="259"/>
      <c r="J43" s="15">
        <v>-0.03</v>
      </c>
      <c r="K43" s="64"/>
      <c r="L43" s="12"/>
    </row>
    <row r="44" spans="1:12" s="19" customFormat="1" ht="18" customHeight="1" x14ac:dyDescent="0.25">
      <c r="A44" s="12"/>
      <c r="B44" s="12"/>
      <c r="C44" s="111" t="s">
        <v>224</v>
      </c>
      <c r="D44" s="12"/>
      <c r="E44" s="45"/>
      <c r="F44" s="24">
        <v>323</v>
      </c>
      <c r="G44" s="260"/>
      <c r="H44" s="24">
        <v>320</v>
      </c>
      <c r="I44" s="43"/>
      <c r="J44" s="15">
        <v>-0.01</v>
      </c>
      <c r="K44" s="64"/>
      <c r="L44" s="12"/>
    </row>
    <row r="45" spans="1:12" s="19" customFormat="1" ht="18" customHeight="1" thickBot="1" x14ac:dyDescent="0.35">
      <c r="A45" s="12"/>
      <c r="B45" s="12"/>
      <c r="C45" s="2"/>
      <c r="D45" s="2" t="s">
        <v>166</v>
      </c>
      <c r="E45" s="14"/>
      <c r="F45" s="163">
        <v>437</v>
      </c>
      <c r="G45" s="212"/>
      <c r="H45" s="163">
        <v>431</v>
      </c>
      <c r="I45" s="105"/>
      <c r="J45" s="15">
        <v>-0.01</v>
      </c>
      <c r="K45" s="116"/>
      <c r="L45" s="2"/>
    </row>
    <row r="46" spans="1:12" s="19" customFormat="1" ht="18" customHeight="1" thickTop="1" x14ac:dyDescent="0.3">
      <c r="A46" s="12"/>
      <c r="B46" s="12"/>
      <c r="C46" s="2"/>
      <c r="D46" s="2"/>
      <c r="E46" s="14"/>
      <c r="F46" s="17"/>
      <c r="G46" s="212"/>
      <c r="H46" s="17"/>
      <c r="I46" s="105"/>
      <c r="J46" s="15"/>
      <c r="K46" s="116"/>
      <c r="L46" s="2"/>
    </row>
    <row r="47" spans="1:12" ht="18" customHeight="1" thickBot="1" x14ac:dyDescent="0.3">
      <c r="A47" s="2"/>
      <c r="B47" s="129"/>
      <c r="C47" s="130"/>
      <c r="D47" s="131"/>
      <c r="E47" s="131"/>
      <c r="F47" s="132"/>
      <c r="G47" s="132"/>
      <c r="H47" s="132"/>
      <c r="I47" s="132"/>
      <c r="J47" s="133"/>
      <c r="K47" s="187"/>
      <c r="L47" s="2"/>
    </row>
    <row r="48" spans="1:12" ht="18" customHeight="1" thickTop="1" x14ac:dyDescent="0.3">
      <c r="A48" s="2"/>
      <c r="B48" s="2"/>
      <c r="C48" s="2"/>
      <c r="D48" s="2"/>
      <c r="E48" s="141"/>
      <c r="F48" s="120"/>
      <c r="G48" s="212"/>
      <c r="H48" s="120"/>
      <c r="I48" s="105"/>
      <c r="J48" s="2"/>
      <c r="K48" s="2"/>
      <c r="L48" s="2"/>
    </row>
    <row r="49" spans="1:12" ht="18" customHeight="1" x14ac:dyDescent="0.25">
      <c r="A49" s="2"/>
      <c r="B49" s="2"/>
      <c r="C49" s="12"/>
      <c r="D49" s="2"/>
      <c r="E49" s="2"/>
      <c r="F49" s="139"/>
      <c r="G49" s="139"/>
      <c r="H49" s="139"/>
      <c r="I49" s="139"/>
      <c r="J49" s="2"/>
      <c r="K49" s="144"/>
      <c r="L49" s="2"/>
    </row>
    <row r="50" spans="1:12" ht="18" customHeight="1" x14ac:dyDescent="0.25">
      <c r="A50" s="2"/>
      <c r="B50" s="2" t="s">
        <v>71</v>
      </c>
      <c r="C50" s="12"/>
      <c r="D50" s="2"/>
      <c r="E50" s="2"/>
      <c r="F50" s="139"/>
      <c r="G50" s="139"/>
      <c r="H50" s="139"/>
      <c r="I50" s="139"/>
      <c r="J50" s="2"/>
      <c r="K50" s="144"/>
      <c r="L50" s="2"/>
    </row>
    <row r="51" spans="1:12" ht="18" customHeight="1" x14ac:dyDescent="0.25">
      <c r="A51" s="2"/>
      <c r="B51" s="2" t="s">
        <v>72</v>
      </c>
      <c r="C51" s="2"/>
      <c r="D51" s="2"/>
      <c r="E51" s="2"/>
      <c r="F51" s="139"/>
      <c r="G51" s="139"/>
      <c r="H51" s="139"/>
      <c r="I51" s="139"/>
      <c r="J51" s="2"/>
      <c r="K51" s="144"/>
      <c r="L51" s="2"/>
    </row>
    <row r="52" spans="1:12" ht="18" customHeight="1" x14ac:dyDescent="0.25">
      <c r="A52" s="2"/>
      <c r="B52" s="2"/>
      <c r="C52" s="2"/>
      <c r="D52" s="2"/>
      <c r="E52" s="2"/>
      <c r="F52" s="139"/>
      <c r="G52" s="139"/>
      <c r="H52" s="139"/>
      <c r="I52" s="139"/>
      <c r="J52" s="2"/>
      <c r="K52" s="144"/>
      <c r="L52" s="2"/>
    </row>
    <row r="53" spans="1:12" ht="18" customHeight="1" x14ac:dyDescent="0.25">
      <c r="A53" s="2"/>
      <c r="B53" s="2"/>
      <c r="C53" s="2"/>
      <c r="D53" s="2"/>
      <c r="E53" s="2"/>
      <c r="F53" s="139"/>
      <c r="G53" s="139"/>
      <c r="H53" s="139"/>
      <c r="I53" s="139"/>
      <c r="J53" s="2"/>
      <c r="K53" s="144"/>
      <c r="L53" s="2"/>
    </row>
    <row r="54" spans="1:12" ht="18" customHeight="1" x14ac:dyDescent="0.25">
      <c r="A54" s="2"/>
      <c r="B54" s="2"/>
      <c r="C54" s="2"/>
      <c r="D54" s="2"/>
      <c r="E54" s="2"/>
      <c r="F54" s="139"/>
      <c r="G54" s="139"/>
      <c r="H54" s="139"/>
      <c r="I54" s="139"/>
      <c r="J54" s="2"/>
      <c r="K54" s="144"/>
      <c r="L54" s="2"/>
    </row>
    <row r="55" spans="1:12" ht="18" customHeight="1" x14ac:dyDescent="0.25">
      <c r="A55" s="2"/>
      <c r="B55" s="2"/>
      <c r="C55" s="2"/>
      <c r="D55" s="2"/>
      <c r="E55" s="2"/>
      <c r="F55" s="139"/>
      <c r="G55" s="139"/>
      <c r="H55" s="139"/>
      <c r="I55" s="139"/>
      <c r="J55" s="2"/>
      <c r="K55" s="144"/>
      <c r="L55" s="2"/>
    </row>
    <row r="56" spans="1:12" ht="18" customHeight="1" x14ac:dyDescent="0.25">
      <c r="A56" s="2"/>
      <c r="B56" s="2"/>
      <c r="C56" s="2"/>
      <c r="D56" s="2"/>
      <c r="E56" s="2"/>
      <c r="F56" s="139"/>
      <c r="G56" s="139"/>
      <c r="H56" s="139"/>
      <c r="I56" s="139"/>
      <c r="J56" s="2"/>
      <c r="K56" s="144"/>
      <c r="L56" s="2"/>
    </row>
    <row r="57" spans="1:12" ht="18" customHeight="1" x14ac:dyDescent="0.25">
      <c r="A57" s="2"/>
      <c r="B57" s="2"/>
      <c r="C57" s="2"/>
      <c r="D57" s="2"/>
      <c r="E57" s="2"/>
      <c r="F57" s="139"/>
      <c r="G57" s="139"/>
      <c r="H57" s="139"/>
      <c r="I57" s="139"/>
      <c r="J57" s="2"/>
      <c r="K57" s="144"/>
      <c r="L57" s="2"/>
    </row>
    <row r="58" spans="1:12" ht="18" customHeight="1" x14ac:dyDescent="0.25">
      <c r="A58" s="2"/>
      <c r="B58" s="2"/>
      <c r="C58" s="2"/>
      <c r="D58" s="2"/>
      <c r="E58" s="2"/>
      <c r="F58" s="139"/>
      <c r="G58" s="139"/>
      <c r="H58" s="139"/>
      <c r="I58" s="139"/>
      <c r="J58" s="2"/>
      <c r="K58" s="144"/>
      <c r="L58" s="2"/>
    </row>
    <row r="59" spans="1:12" ht="18" customHeight="1" x14ac:dyDescent="0.25">
      <c r="A59" s="2"/>
      <c r="B59" s="2"/>
      <c r="C59" s="2"/>
      <c r="D59" s="2"/>
      <c r="E59" s="2"/>
      <c r="F59" s="139"/>
      <c r="G59" s="139"/>
      <c r="H59" s="139"/>
      <c r="I59" s="139"/>
      <c r="J59" s="2"/>
      <c r="K59" s="144"/>
      <c r="L59" s="2"/>
    </row>
  </sheetData>
  <pageMargins left="0" right="0" top="0.06" bottom="0.06" header="0" footer="0"/>
  <pageSetup scale="42" orientation="landscape" r:id="rId1"/>
  <headerFooter alignWithMargins="0">
    <oddFooter>&amp;R&amp;"Times New Roman,Bold"&amp;18Page 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showGridLines="0" zoomScale="90" workbookViewId="0">
      <pane xSplit="5" ySplit="6" topLeftCell="F7" activePane="bottomRight" state="frozen"/>
      <selection activeCell="E25" sqref="E25"/>
      <selection pane="topRight" activeCell="E25" sqref="E25"/>
      <selection pane="bottomLeft" activeCell="E25" sqref="E25"/>
      <selection pane="bottomRight" activeCell="F6" sqref="F6:J6"/>
    </sheetView>
  </sheetViews>
  <sheetFormatPr defaultRowHeight="15" x14ac:dyDescent="0.2"/>
  <cols>
    <col min="1" max="1" width="4.83203125" style="11" customWidth="1"/>
    <col min="2" max="2" width="5.33203125" style="11" customWidth="1"/>
    <col min="3" max="3" width="4.83203125" style="11" customWidth="1"/>
    <col min="4" max="4" width="104.33203125" style="11" customWidth="1"/>
    <col min="5" max="5" width="2.83203125" style="11" customWidth="1"/>
    <col min="6" max="6" width="17.33203125" style="11" customWidth="1"/>
    <col min="7" max="7" width="2.83203125" style="136" customWidth="1"/>
    <col min="8" max="8" width="15" style="136" customWidth="1"/>
    <col min="9" max="9" width="2.83203125" style="136" customWidth="1"/>
    <col min="10" max="10" width="22.83203125" style="11" customWidth="1"/>
    <col min="11" max="11" width="5.1640625" style="11" customWidth="1"/>
    <col min="12" max="16384" width="9.33203125" style="11"/>
  </cols>
  <sheetData>
    <row r="1" spans="1:11" ht="18" customHeight="1" x14ac:dyDescent="0.2">
      <c r="D1" s="10"/>
      <c r="E1" s="147"/>
      <c r="F1" s="10"/>
      <c r="G1" s="148"/>
      <c r="H1" s="148"/>
      <c r="I1" s="148"/>
      <c r="J1" s="18"/>
      <c r="K1" s="18"/>
    </row>
    <row r="2" spans="1:11" ht="20.100000000000001" customHeight="1" x14ac:dyDescent="0.3">
      <c r="B2" s="34"/>
      <c r="C2" s="149"/>
      <c r="D2" s="150"/>
      <c r="E2" s="147"/>
      <c r="F2" s="150"/>
      <c r="G2" s="150"/>
      <c r="H2" s="150"/>
      <c r="I2" s="150"/>
      <c r="J2" s="151"/>
      <c r="K2" s="151"/>
    </row>
    <row r="3" spans="1:11" ht="18" customHeight="1" x14ac:dyDescent="0.3">
      <c r="B3" s="135" t="s">
        <v>209</v>
      </c>
      <c r="C3" s="149"/>
      <c r="D3" s="150"/>
      <c r="E3" s="147"/>
      <c r="F3" s="150"/>
      <c r="G3" s="150"/>
      <c r="H3" s="153"/>
      <c r="I3" s="153"/>
      <c r="J3" s="87"/>
      <c r="K3" s="87"/>
    </row>
    <row r="4" spans="1:11" ht="18" customHeight="1" x14ac:dyDescent="0.25">
      <c r="B4" s="93" t="s">
        <v>226</v>
      </c>
      <c r="C4" s="149"/>
      <c r="D4" s="150"/>
      <c r="E4" s="152"/>
      <c r="F4" s="150"/>
      <c r="G4" s="150"/>
      <c r="H4" s="153"/>
      <c r="I4" s="153"/>
      <c r="J4" s="87"/>
      <c r="K4" s="87"/>
    </row>
    <row r="5" spans="1:11" ht="18" customHeight="1" x14ac:dyDescent="0.25">
      <c r="B5" s="93"/>
      <c r="C5" s="149"/>
      <c r="D5" s="150"/>
      <c r="E5" s="152"/>
      <c r="F5" s="150"/>
      <c r="G5" s="150"/>
      <c r="H5" s="153"/>
      <c r="I5" s="153"/>
      <c r="J5" s="87"/>
      <c r="K5" s="87"/>
    </row>
    <row r="6" spans="1:11" ht="72" x14ac:dyDescent="0.25">
      <c r="A6" s="2"/>
      <c r="B6" s="2"/>
      <c r="C6" s="2"/>
      <c r="D6" s="2"/>
      <c r="E6" s="9"/>
      <c r="F6" s="355" t="s">
        <v>2</v>
      </c>
      <c r="G6" s="8"/>
      <c r="H6" s="355" t="s">
        <v>1</v>
      </c>
      <c r="I6" s="43"/>
      <c r="J6" s="356" t="s">
        <v>3</v>
      </c>
      <c r="K6" s="45"/>
    </row>
    <row r="7" spans="1:11" ht="18" customHeight="1" x14ac:dyDescent="0.25">
      <c r="A7" s="2"/>
      <c r="B7" s="2"/>
      <c r="C7" s="2"/>
      <c r="D7" s="2"/>
      <c r="E7" s="9"/>
      <c r="F7" s="43"/>
      <c r="G7" s="154"/>
      <c r="H7" s="43"/>
      <c r="I7" s="154"/>
      <c r="J7" s="43"/>
      <c r="K7" s="45"/>
    </row>
    <row r="8" spans="1:11" s="19" customFormat="1" ht="18" customHeight="1" x14ac:dyDescent="0.3">
      <c r="A8" s="12"/>
      <c r="B8" s="229" t="s">
        <v>227</v>
      </c>
      <c r="C8" s="2"/>
      <c r="D8" s="2"/>
      <c r="E8" s="14"/>
      <c r="F8" s="17"/>
      <c r="G8" s="212"/>
      <c r="H8" s="17"/>
      <c r="I8" s="105"/>
      <c r="J8" s="15"/>
      <c r="K8" s="16"/>
    </row>
    <row r="9" spans="1:11" s="19" customFormat="1" ht="18" customHeight="1" x14ac:dyDescent="0.3">
      <c r="A9" s="12"/>
      <c r="B9" s="229"/>
      <c r="C9" s="2"/>
      <c r="D9" s="2"/>
      <c r="E9" s="14"/>
      <c r="F9" s="17"/>
      <c r="G9" s="212"/>
      <c r="H9" s="17"/>
      <c r="I9" s="105"/>
      <c r="J9" s="15"/>
      <c r="K9" s="16"/>
    </row>
    <row r="10" spans="1:11" s="19" customFormat="1" ht="18" customHeight="1" x14ac:dyDescent="0.3">
      <c r="A10" s="12"/>
      <c r="B10" s="13" t="s">
        <v>228</v>
      </c>
      <c r="C10" s="12"/>
      <c r="D10" s="2"/>
      <c r="E10" s="14"/>
      <c r="F10" s="156"/>
      <c r="G10" s="212"/>
      <c r="H10" s="156"/>
      <c r="I10" s="105"/>
      <c r="J10" s="15"/>
      <c r="K10" s="16"/>
    </row>
    <row r="11" spans="1:11" s="19" customFormat="1" ht="22.5" customHeight="1" x14ac:dyDescent="0.3">
      <c r="A11" s="12"/>
      <c r="B11" s="13"/>
      <c r="C11" s="12" t="s">
        <v>217</v>
      </c>
      <c r="D11" s="2"/>
      <c r="E11" s="14"/>
      <c r="F11" s="156">
        <v>1069</v>
      </c>
      <c r="G11" s="252"/>
      <c r="H11" s="156">
        <v>1023</v>
      </c>
      <c r="I11" s="105"/>
      <c r="J11" s="15">
        <v>-0.04</v>
      </c>
      <c r="K11" s="16"/>
    </row>
    <row r="12" spans="1:11" s="19" customFormat="1" ht="21.75" customHeight="1" x14ac:dyDescent="0.3">
      <c r="A12" s="12"/>
      <c r="B12" s="13"/>
      <c r="C12" s="12" t="s">
        <v>218</v>
      </c>
      <c r="D12" s="2"/>
      <c r="E12" s="14"/>
      <c r="F12" s="156">
        <v>3126</v>
      </c>
      <c r="G12" s="252"/>
      <c r="H12" s="156">
        <v>2806</v>
      </c>
      <c r="I12" s="105"/>
      <c r="J12" s="15">
        <v>-0.1</v>
      </c>
      <c r="K12" s="16"/>
    </row>
    <row r="13" spans="1:11" s="19" customFormat="1" ht="21" customHeight="1" x14ac:dyDescent="0.3">
      <c r="A13" s="12"/>
      <c r="B13" s="13" t="s">
        <v>229</v>
      </c>
      <c r="C13" s="12"/>
      <c r="D13" s="2"/>
      <c r="E13" s="14"/>
      <c r="F13" s="125"/>
      <c r="G13" s="254"/>
      <c r="H13" s="125"/>
      <c r="I13" s="253"/>
      <c r="J13" s="15"/>
      <c r="K13" s="16"/>
    </row>
    <row r="14" spans="1:11" s="19" customFormat="1" ht="18" customHeight="1" x14ac:dyDescent="0.3">
      <c r="A14" s="12"/>
      <c r="B14" s="13"/>
      <c r="C14" s="12" t="s">
        <v>217</v>
      </c>
      <c r="D14" s="2"/>
      <c r="E14" s="14"/>
      <c r="F14" s="125">
        <v>115.2</v>
      </c>
      <c r="G14" s="254"/>
      <c r="H14" s="125">
        <v>125.3</v>
      </c>
      <c r="I14" s="253"/>
      <c r="J14" s="15">
        <v>0.09</v>
      </c>
      <c r="K14" s="16"/>
    </row>
    <row r="15" spans="1:11" s="19" customFormat="1" ht="21.75" customHeight="1" x14ac:dyDescent="0.3">
      <c r="A15" s="12"/>
      <c r="B15" s="13"/>
      <c r="C15" s="12" t="s">
        <v>218</v>
      </c>
      <c r="D15" s="2"/>
      <c r="E15" s="14"/>
      <c r="F15" s="66">
        <v>27.1</v>
      </c>
      <c r="G15" s="213"/>
      <c r="H15" s="66">
        <v>27.1</v>
      </c>
      <c r="I15" s="253"/>
      <c r="J15" s="15" t="s">
        <v>36</v>
      </c>
      <c r="K15" s="16"/>
    </row>
    <row r="16" spans="1:11" s="19" customFormat="1" ht="21" customHeight="1" x14ac:dyDescent="0.3">
      <c r="A16" s="12"/>
      <c r="B16" s="13" t="s">
        <v>230</v>
      </c>
      <c r="C16" s="12"/>
      <c r="D16" s="2"/>
      <c r="E16" s="14"/>
      <c r="F16" s="66"/>
      <c r="G16" s="213"/>
      <c r="H16" s="66"/>
      <c r="I16" s="166"/>
      <c r="J16" s="15"/>
      <c r="K16" s="16"/>
    </row>
    <row r="17" spans="1:11" s="19" customFormat="1" ht="21" customHeight="1" x14ac:dyDescent="0.3">
      <c r="A17" s="12"/>
      <c r="B17" s="13"/>
      <c r="C17" s="12" t="s">
        <v>217</v>
      </c>
      <c r="D17" s="2"/>
      <c r="E17" s="14"/>
      <c r="F17" s="125">
        <v>84.5</v>
      </c>
      <c r="G17" s="128"/>
      <c r="H17" s="125">
        <v>95.4</v>
      </c>
      <c r="I17" s="166"/>
      <c r="J17" s="15">
        <v>0.13</v>
      </c>
      <c r="K17" s="16"/>
    </row>
    <row r="18" spans="1:11" s="19" customFormat="1" ht="22.5" customHeight="1" x14ac:dyDescent="0.3">
      <c r="A18" s="12"/>
      <c r="B18" s="13"/>
      <c r="C18" s="12" t="s">
        <v>218</v>
      </c>
      <c r="D18" s="2"/>
      <c r="E18" s="14"/>
      <c r="F18" s="66">
        <v>43.8</v>
      </c>
      <c r="G18" s="213"/>
      <c r="H18" s="66">
        <v>48</v>
      </c>
      <c r="I18" s="166"/>
      <c r="J18" s="15">
        <v>0.1</v>
      </c>
      <c r="K18" s="16"/>
    </row>
    <row r="19" spans="1:11" s="19" customFormat="1" ht="21" customHeight="1" x14ac:dyDescent="0.3">
      <c r="A19" s="12"/>
      <c r="B19" s="13" t="s">
        <v>231</v>
      </c>
      <c r="C19" s="12"/>
      <c r="D19" s="2"/>
      <c r="E19" s="14"/>
      <c r="F19" s="66"/>
      <c r="G19" s="213"/>
      <c r="H19" s="66"/>
      <c r="I19" s="166"/>
      <c r="J19" s="15"/>
      <c r="K19" s="16"/>
    </row>
    <row r="20" spans="1:11" s="19" customFormat="1" ht="21" customHeight="1" x14ac:dyDescent="0.3">
      <c r="A20" s="12"/>
      <c r="B20" s="13"/>
      <c r="C20" s="12" t="s">
        <v>217</v>
      </c>
      <c r="D20" s="2"/>
      <c r="E20" s="14"/>
      <c r="F20" s="125">
        <v>87.9</v>
      </c>
      <c r="G20" s="128"/>
      <c r="H20" s="125">
        <v>100.2</v>
      </c>
      <c r="I20" s="166"/>
      <c r="J20" s="15">
        <v>0.14000000000000001</v>
      </c>
      <c r="K20" s="16"/>
    </row>
    <row r="21" spans="1:11" s="19" customFormat="1" ht="21" customHeight="1" x14ac:dyDescent="0.3">
      <c r="A21" s="12"/>
      <c r="B21" s="13"/>
      <c r="C21" s="12" t="s">
        <v>218</v>
      </c>
      <c r="D21" s="2"/>
      <c r="E21" s="14"/>
      <c r="F21" s="66">
        <v>46</v>
      </c>
      <c r="G21" s="213"/>
      <c r="H21" s="66">
        <v>50.5</v>
      </c>
      <c r="I21" s="166"/>
      <c r="J21" s="15">
        <v>0.1</v>
      </c>
      <c r="K21" s="16"/>
    </row>
    <row r="22" spans="1:11" s="19" customFormat="1" ht="21" customHeight="1" x14ac:dyDescent="0.3">
      <c r="A22" s="12"/>
      <c r="B22" s="13" t="s">
        <v>232</v>
      </c>
      <c r="C22" s="12"/>
      <c r="D22" s="2"/>
      <c r="E22" s="14"/>
      <c r="F22" s="66"/>
      <c r="G22" s="213"/>
      <c r="H22" s="66"/>
      <c r="I22" s="166"/>
      <c r="J22" s="15"/>
      <c r="K22" s="16"/>
    </row>
    <row r="23" spans="1:11" s="19" customFormat="1" ht="21" customHeight="1" x14ac:dyDescent="0.3">
      <c r="A23" s="12"/>
      <c r="B23" s="13"/>
      <c r="C23" s="12" t="s">
        <v>217</v>
      </c>
      <c r="D23" s="2"/>
      <c r="E23" s="14"/>
      <c r="F23" s="59">
        <v>8.9300000000000004E-2</v>
      </c>
      <c r="G23" s="128"/>
      <c r="H23" s="59">
        <v>8.9700000000000002E-2</v>
      </c>
      <c r="I23" s="166"/>
      <c r="J23" s="15"/>
      <c r="K23" s="16"/>
    </row>
    <row r="24" spans="1:11" s="19" customFormat="1" ht="21" customHeight="1" x14ac:dyDescent="0.3">
      <c r="A24" s="12"/>
      <c r="B24" s="13"/>
      <c r="C24" s="12" t="s">
        <v>218</v>
      </c>
      <c r="D24" s="2"/>
      <c r="E24" s="14"/>
      <c r="F24" s="59">
        <v>0.16550000000000001</v>
      </c>
      <c r="G24" s="213"/>
      <c r="H24" s="59">
        <v>0.16919999999999999</v>
      </c>
      <c r="I24" s="166"/>
      <c r="J24" s="15"/>
      <c r="K24" s="16"/>
    </row>
    <row r="25" spans="1:11" s="19" customFormat="1" ht="21" customHeight="1" x14ac:dyDescent="0.3">
      <c r="A25" s="12"/>
      <c r="B25" s="13" t="s">
        <v>233</v>
      </c>
      <c r="C25" s="12"/>
      <c r="D25" s="2"/>
      <c r="E25" s="14"/>
      <c r="F25" s="66"/>
      <c r="G25" s="213"/>
      <c r="H25" s="66"/>
      <c r="I25" s="166"/>
      <c r="J25" s="15"/>
      <c r="K25" s="16"/>
    </row>
    <row r="26" spans="1:11" s="19" customFormat="1" ht="21" customHeight="1" x14ac:dyDescent="0.3">
      <c r="A26" s="12"/>
      <c r="B26" s="13"/>
      <c r="C26" s="12" t="s">
        <v>217</v>
      </c>
      <c r="D26" s="2"/>
      <c r="E26" s="14"/>
      <c r="F26" s="59">
        <v>1.3299999999999999E-2</v>
      </c>
      <c r="G26" s="128"/>
      <c r="H26" s="59">
        <v>1.6799999999999999E-2</v>
      </c>
      <c r="I26" s="166"/>
      <c r="J26" s="15"/>
      <c r="K26" s="16"/>
    </row>
    <row r="27" spans="1:11" s="19" customFormat="1" ht="22.5" customHeight="1" x14ac:dyDescent="0.3">
      <c r="A27" s="12"/>
      <c r="B27" s="13"/>
      <c r="C27" s="12" t="s">
        <v>218</v>
      </c>
      <c r="D27" s="2"/>
      <c r="E27" s="14"/>
      <c r="F27" s="59">
        <v>2.1000000000000001E-2</v>
      </c>
      <c r="G27" s="213"/>
      <c r="H27" s="59">
        <v>3.3000000000000002E-2</v>
      </c>
      <c r="I27" s="166"/>
      <c r="J27" s="15"/>
      <c r="K27" s="16"/>
    </row>
    <row r="28" spans="1:11" s="19" customFormat="1" ht="21" customHeight="1" x14ac:dyDescent="0.3">
      <c r="A28" s="12"/>
      <c r="B28" s="13" t="s">
        <v>234</v>
      </c>
      <c r="C28" s="12"/>
      <c r="D28" s="2"/>
      <c r="E28" s="14"/>
      <c r="F28" s="66"/>
      <c r="G28" s="213"/>
      <c r="H28" s="66"/>
      <c r="I28" s="166"/>
      <c r="J28" s="15"/>
      <c r="K28" s="16"/>
    </row>
    <row r="29" spans="1:11" s="19" customFormat="1" ht="21" customHeight="1" x14ac:dyDescent="0.3">
      <c r="A29" s="12"/>
      <c r="B29" s="13"/>
      <c r="C29" s="12" t="s">
        <v>217</v>
      </c>
      <c r="D29" s="2"/>
      <c r="E29" s="14"/>
      <c r="F29" s="59">
        <v>4.4000000000000003E-3</v>
      </c>
      <c r="G29" s="128"/>
      <c r="H29" s="59">
        <v>6.3E-3</v>
      </c>
      <c r="I29" s="166"/>
      <c r="J29" s="15"/>
      <c r="K29" s="16"/>
    </row>
    <row r="30" spans="1:11" s="19" customFormat="1" ht="21" customHeight="1" x14ac:dyDescent="0.3">
      <c r="A30" s="12"/>
      <c r="B30" s="13"/>
      <c r="C30" s="12" t="s">
        <v>218</v>
      </c>
      <c r="D30" s="2"/>
      <c r="E30" s="14"/>
      <c r="F30" s="59">
        <v>1.0500000000000001E-2</v>
      </c>
      <c r="G30" s="213"/>
      <c r="H30" s="59">
        <v>1.5599999999999999E-2</v>
      </c>
      <c r="I30" s="166"/>
      <c r="J30" s="15"/>
      <c r="K30" s="16"/>
    </row>
    <row r="31" spans="1:11" s="19" customFormat="1" ht="21" customHeight="1" x14ac:dyDescent="0.3">
      <c r="A31" s="12"/>
      <c r="B31" s="13" t="s">
        <v>235</v>
      </c>
      <c r="C31" s="12"/>
      <c r="D31" s="2"/>
      <c r="E31" s="14"/>
      <c r="F31" s="66"/>
      <c r="G31" s="213"/>
      <c r="H31" s="66"/>
      <c r="I31" s="166"/>
      <c r="J31" s="15"/>
      <c r="K31" s="16"/>
    </row>
    <row r="32" spans="1:11" s="19" customFormat="1" ht="21" customHeight="1" x14ac:dyDescent="0.3">
      <c r="A32" s="12"/>
      <c r="B32" s="13"/>
      <c r="C32" s="12" t="s">
        <v>217</v>
      </c>
      <c r="D32" s="2"/>
      <c r="E32" s="14"/>
      <c r="F32" s="59">
        <v>4.5999999999999999E-3</v>
      </c>
      <c r="G32" s="128"/>
      <c r="H32" s="59">
        <v>6.8999999999999999E-3</v>
      </c>
      <c r="I32" s="166"/>
      <c r="J32" s="15"/>
      <c r="K32" s="16"/>
    </row>
    <row r="33" spans="1:11" s="19" customFormat="1" ht="21" customHeight="1" x14ac:dyDescent="0.3">
      <c r="A33" s="12"/>
      <c r="B33" s="13"/>
      <c r="C33" s="12" t="s">
        <v>218</v>
      </c>
      <c r="D33" s="2"/>
      <c r="E33" s="14"/>
      <c r="F33" s="59">
        <v>1.17E-2</v>
      </c>
      <c r="G33" s="213"/>
      <c r="H33" s="59">
        <v>1.6199999999999999E-2</v>
      </c>
      <c r="I33" s="166"/>
      <c r="J33" s="15"/>
      <c r="K33" s="16"/>
    </row>
    <row r="34" spans="1:11" s="19" customFormat="1" ht="21" customHeight="1" x14ac:dyDescent="0.3">
      <c r="A34" s="12"/>
      <c r="B34" s="13"/>
      <c r="C34" s="12"/>
      <c r="D34" s="2"/>
      <c r="E34" s="14"/>
      <c r="F34" s="66"/>
      <c r="G34" s="213"/>
      <c r="H34" s="66"/>
      <c r="I34" s="166"/>
      <c r="J34" s="15"/>
      <c r="K34" s="16"/>
    </row>
    <row r="35" spans="1:11" s="19" customFormat="1" ht="21" customHeight="1" x14ac:dyDescent="0.3">
      <c r="A35" s="12"/>
      <c r="B35" s="13" t="s">
        <v>236</v>
      </c>
      <c r="C35" s="12"/>
      <c r="D35" s="2"/>
      <c r="E35" s="14"/>
      <c r="F35" s="17">
        <v>114</v>
      </c>
      <c r="G35" s="214"/>
      <c r="H35" s="17">
        <v>111</v>
      </c>
      <c r="I35" s="166"/>
      <c r="J35" s="15">
        <v>-0.03</v>
      </c>
      <c r="K35" s="16"/>
    </row>
    <row r="36" spans="1:11" s="19" customFormat="1" ht="21" customHeight="1" x14ac:dyDescent="0.3">
      <c r="A36" s="12"/>
      <c r="B36" s="13" t="s">
        <v>237</v>
      </c>
      <c r="C36" s="12"/>
      <c r="D36" s="2"/>
      <c r="E36" s="14"/>
      <c r="F36" s="156">
        <v>658</v>
      </c>
      <c r="G36" s="22"/>
      <c r="H36" s="156">
        <v>654</v>
      </c>
      <c r="I36" s="105"/>
      <c r="J36" s="15">
        <v>-0.01</v>
      </c>
      <c r="K36" s="16"/>
    </row>
    <row r="37" spans="1:11" s="19" customFormat="1" ht="18" customHeight="1" x14ac:dyDescent="0.3">
      <c r="A37" s="12"/>
      <c r="B37" s="13" t="s">
        <v>238</v>
      </c>
      <c r="C37" s="12"/>
      <c r="D37" s="2"/>
      <c r="E37" s="14"/>
      <c r="F37" s="125">
        <v>3.4</v>
      </c>
      <c r="G37" s="254"/>
      <c r="H37" s="125">
        <v>2.7</v>
      </c>
      <c r="I37" s="253"/>
      <c r="J37" s="15">
        <v>-0.21</v>
      </c>
      <c r="K37" s="16"/>
    </row>
    <row r="38" spans="1:11" s="19" customFormat="1" ht="18" customHeight="1" x14ac:dyDescent="0.3">
      <c r="A38" s="12"/>
      <c r="B38" s="13"/>
      <c r="C38" s="13"/>
      <c r="D38" s="2"/>
      <c r="E38" s="14"/>
      <c r="F38" s="71"/>
      <c r="G38" s="255"/>
      <c r="H38" s="71"/>
      <c r="I38" s="105"/>
      <c r="J38" s="15"/>
      <c r="K38" s="16"/>
    </row>
    <row r="39" spans="1:11" s="19" customFormat="1" ht="18" customHeight="1" x14ac:dyDescent="0.3">
      <c r="A39" s="12"/>
      <c r="B39" s="13"/>
      <c r="C39" s="13"/>
      <c r="D39" s="2"/>
      <c r="E39" s="14"/>
      <c r="F39" s="71"/>
      <c r="G39" s="255"/>
      <c r="H39" s="71"/>
      <c r="I39" s="105"/>
      <c r="J39" s="15"/>
      <c r="K39" s="16"/>
    </row>
    <row r="40" spans="1:11" s="19" customFormat="1" ht="18" customHeight="1" x14ac:dyDescent="0.3">
      <c r="A40" s="12"/>
      <c r="B40" s="229" t="s">
        <v>239</v>
      </c>
      <c r="C40" s="2"/>
      <c r="D40" s="2"/>
      <c r="E40" s="14"/>
      <c r="F40" s="17"/>
      <c r="G40" s="212"/>
      <c r="H40" s="17"/>
      <c r="I40" s="105"/>
      <c r="J40" s="15"/>
      <c r="K40" s="16"/>
    </row>
    <row r="41" spans="1:11" s="19" customFormat="1" ht="18" customHeight="1" x14ac:dyDescent="0.3">
      <c r="A41" s="12"/>
      <c r="B41" s="13" t="s">
        <v>240</v>
      </c>
      <c r="C41" s="12"/>
      <c r="D41" s="2"/>
      <c r="E41" s="14"/>
      <c r="F41" s="17">
        <v>814</v>
      </c>
      <c r="G41" s="99"/>
      <c r="H41" s="17">
        <v>746</v>
      </c>
      <c r="I41" s="105"/>
      <c r="J41" s="15">
        <v>-0.08</v>
      </c>
      <c r="K41" s="16"/>
    </row>
    <row r="42" spans="1:11" s="19" customFormat="1" ht="18" customHeight="1" x14ac:dyDescent="0.3">
      <c r="A42" s="12"/>
      <c r="B42" s="13" t="s">
        <v>241</v>
      </c>
      <c r="C42" s="12"/>
      <c r="D42" s="2"/>
      <c r="E42" s="14"/>
      <c r="F42" s="23">
        <v>150</v>
      </c>
      <c r="G42" s="101"/>
      <c r="H42" s="23">
        <v>150</v>
      </c>
      <c r="I42" s="105"/>
      <c r="J42" s="15" t="s">
        <v>36</v>
      </c>
      <c r="K42" s="16"/>
    </row>
    <row r="43" spans="1:11" s="19" customFormat="1" ht="18" customHeight="1" x14ac:dyDescent="0.3">
      <c r="A43" s="12"/>
      <c r="B43" s="13" t="s">
        <v>236</v>
      </c>
      <c r="C43" s="12"/>
      <c r="D43" s="2"/>
      <c r="E43" s="14"/>
      <c r="F43" s="23">
        <v>323</v>
      </c>
      <c r="G43" s="101"/>
      <c r="H43" s="23">
        <v>320</v>
      </c>
      <c r="I43" s="105"/>
      <c r="J43" s="15">
        <v>-0.01</v>
      </c>
      <c r="K43" s="16"/>
    </row>
    <row r="44" spans="1:11" ht="20.25" customHeight="1" x14ac:dyDescent="0.3">
      <c r="A44" s="2"/>
      <c r="B44" s="13" t="s">
        <v>242</v>
      </c>
      <c r="C44" s="39"/>
      <c r="D44" s="2"/>
      <c r="E44" s="141"/>
      <c r="F44" s="66">
        <v>3.5</v>
      </c>
      <c r="G44" s="57"/>
      <c r="H44" s="66">
        <v>2.5</v>
      </c>
      <c r="I44" s="27"/>
      <c r="J44" s="15">
        <v>-0.28999999999999998</v>
      </c>
      <c r="K44" s="9"/>
    </row>
    <row r="45" spans="1:11" ht="18" customHeight="1" x14ac:dyDescent="0.25">
      <c r="A45" s="2"/>
      <c r="B45" s="46"/>
      <c r="C45" s="47"/>
      <c r="D45" s="47"/>
      <c r="E45" s="3"/>
      <c r="F45" s="7"/>
      <c r="G45" s="4"/>
      <c r="H45" s="7"/>
      <c r="I45" s="4"/>
      <c r="J45" s="5"/>
      <c r="K45" s="6"/>
    </row>
    <row r="46" spans="1:11" ht="18" customHeight="1" thickBot="1" x14ac:dyDescent="0.3">
      <c r="A46" s="2"/>
      <c r="B46" s="129"/>
      <c r="C46" s="130"/>
      <c r="D46" s="131"/>
      <c r="E46" s="131"/>
      <c r="F46" s="132"/>
      <c r="G46" s="132"/>
      <c r="H46" s="132"/>
      <c r="I46" s="132"/>
      <c r="J46" s="133"/>
      <c r="K46" s="6"/>
    </row>
    <row r="47" spans="1:11" ht="18" customHeight="1" thickTop="1" x14ac:dyDescent="0.25">
      <c r="A47" s="2"/>
      <c r="B47" s="46"/>
      <c r="C47" s="47"/>
      <c r="D47" s="47"/>
      <c r="E47" s="3"/>
      <c r="F47" s="7"/>
      <c r="G47" s="4"/>
      <c r="H47" s="7"/>
      <c r="I47" s="4"/>
      <c r="J47" s="5"/>
      <c r="K47" s="6"/>
    </row>
    <row r="48" spans="1:11" ht="18" customHeight="1" x14ac:dyDescent="0.25">
      <c r="A48" s="2"/>
      <c r="B48" s="233" t="s">
        <v>61</v>
      </c>
      <c r="C48" s="2" t="s">
        <v>243</v>
      </c>
      <c r="D48" s="47"/>
      <c r="E48" s="3"/>
      <c r="F48" s="7"/>
      <c r="G48" s="4"/>
      <c r="H48" s="7"/>
      <c r="I48" s="4"/>
      <c r="J48" s="5"/>
      <c r="K48" s="6"/>
    </row>
    <row r="49" spans="1:11" ht="18" customHeight="1" x14ac:dyDescent="0.25">
      <c r="A49" s="2"/>
      <c r="B49" s="233" t="s">
        <v>63</v>
      </c>
      <c r="C49" s="2" t="s">
        <v>244</v>
      </c>
      <c r="D49" s="2"/>
      <c r="E49" s="141"/>
      <c r="F49" s="2"/>
      <c r="G49" s="139"/>
      <c r="H49" s="2"/>
      <c r="I49" s="139"/>
      <c r="J49" s="5"/>
      <c r="K49" s="144"/>
    </row>
    <row r="50" spans="1:11" ht="18" customHeight="1" x14ac:dyDescent="0.25">
      <c r="A50" s="2"/>
      <c r="B50" s="2"/>
      <c r="C50" s="12"/>
      <c r="D50" s="2"/>
      <c r="E50" s="2"/>
      <c r="F50" s="139"/>
      <c r="G50" s="139"/>
      <c r="H50" s="139"/>
      <c r="I50" s="139"/>
      <c r="J50" s="5"/>
      <c r="K50" s="144"/>
    </row>
    <row r="51" spans="1:11" ht="18" customHeight="1" x14ac:dyDescent="0.25">
      <c r="A51" s="2"/>
      <c r="B51" s="2" t="s">
        <v>72</v>
      </c>
      <c r="C51" s="2"/>
      <c r="D51" s="2"/>
      <c r="E51" s="2"/>
      <c r="F51" s="139"/>
      <c r="G51" s="139"/>
      <c r="H51" s="139"/>
      <c r="I51" s="139"/>
      <c r="J51" s="5"/>
      <c r="K51" s="144"/>
    </row>
    <row r="52" spans="1:11" ht="18" customHeight="1" x14ac:dyDescent="0.25">
      <c r="A52" s="2"/>
      <c r="C52" s="2"/>
      <c r="D52" s="2"/>
      <c r="E52" s="2"/>
      <c r="F52" s="139"/>
      <c r="G52" s="139"/>
      <c r="H52" s="139"/>
      <c r="I52" s="139"/>
      <c r="J52" s="5"/>
      <c r="K52" s="144"/>
    </row>
    <row r="53" spans="1:11" ht="18" x14ac:dyDescent="0.25">
      <c r="A53" s="2"/>
      <c r="B53" s="2"/>
      <c r="C53" s="2"/>
      <c r="D53" s="2"/>
      <c r="E53" s="2"/>
      <c r="F53" s="139"/>
      <c r="G53" s="139"/>
      <c r="H53" s="139"/>
      <c r="I53" s="139"/>
      <c r="J53" s="5"/>
      <c r="K53" s="144"/>
    </row>
    <row r="54" spans="1:11" ht="18" x14ac:dyDescent="0.25">
      <c r="A54" s="2"/>
      <c r="B54" s="2"/>
      <c r="C54" s="2"/>
      <c r="D54" s="2"/>
      <c r="E54" s="2"/>
      <c r="F54" s="139"/>
      <c r="G54" s="139"/>
      <c r="H54" s="139"/>
      <c r="I54" s="139"/>
      <c r="J54" s="5"/>
      <c r="K54" s="144"/>
    </row>
    <row r="55" spans="1:11" ht="18" x14ac:dyDescent="0.25">
      <c r="A55" s="2"/>
      <c r="B55" s="2"/>
      <c r="C55" s="2"/>
      <c r="D55" s="2"/>
      <c r="E55" s="2"/>
      <c r="F55" s="139"/>
      <c r="G55" s="139"/>
      <c r="H55" s="139"/>
      <c r="I55" s="139"/>
      <c r="J55" s="5"/>
      <c r="K55" s="144"/>
    </row>
    <row r="56" spans="1:11" ht="18" x14ac:dyDescent="0.25">
      <c r="A56" s="2"/>
      <c r="B56" s="2"/>
      <c r="C56" s="2"/>
      <c r="D56" s="2"/>
      <c r="E56" s="2"/>
      <c r="F56" s="139"/>
      <c r="G56" s="139"/>
      <c r="H56" s="139"/>
      <c r="I56" s="139"/>
      <c r="J56" s="5"/>
      <c r="K56" s="144"/>
    </row>
  </sheetData>
  <pageMargins left="0" right="0" top="0.06" bottom="0.06" header="0" footer="0"/>
  <pageSetup scale="42" orientation="landscape" r:id="rId1"/>
  <headerFooter alignWithMargins="0">
    <oddFooter xml:space="preserve">&amp;R&amp;"Times New Roman,Bold"&amp;18Page 8
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showGridLines="0" zoomScale="80" workbookViewId="0">
      <pane xSplit="5" ySplit="5" topLeftCell="F6" activePane="bottomRight" state="frozen"/>
      <selection activeCell="F8" sqref="F8"/>
      <selection pane="topRight" activeCell="F8" sqref="F8"/>
      <selection pane="bottomLeft" activeCell="F8" sqref="F8"/>
      <selection pane="bottomRight" activeCell="F5" sqref="F5:J5"/>
    </sheetView>
  </sheetViews>
  <sheetFormatPr defaultColWidth="8.83203125" defaultRowHeight="15" x14ac:dyDescent="0.2"/>
  <cols>
    <col min="1" max="3" width="4.83203125" style="11" customWidth="1"/>
    <col min="4" max="4" width="100.83203125" style="11" customWidth="1"/>
    <col min="5" max="5" width="7.33203125" style="11" customWidth="1"/>
    <col min="6" max="6" width="18.83203125" style="11" customWidth="1"/>
    <col min="7" max="7" width="3.83203125" style="136" customWidth="1"/>
    <col min="8" max="8" width="15" style="136" customWidth="1"/>
    <col min="9" max="9" width="2.83203125" style="136" customWidth="1"/>
    <col min="10" max="10" width="29.5" style="11" customWidth="1"/>
    <col min="11" max="11" width="5.1640625" style="11" customWidth="1"/>
    <col min="12" max="12" width="2.83203125" style="11" customWidth="1"/>
    <col min="13" max="83" width="8.83203125" style="11"/>
    <col min="84" max="86" width="4.83203125" style="11" customWidth="1"/>
    <col min="87" max="87" width="100.83203125" style="11" customWidth="1"/>
    <col min="88" max="88" width="2.83203125" style="11" customWidth="1"/>
    <col min="89" max="118" width="9.33203125" style="11" customWidth="1"/>
    <col min="119" max="119" width="18.83203125" style="11" customWidth="1"/>
    <col min="120" max="120" width="2.83203125" style="11" customWidth="1"/>
    <col min="121" max="121" width="18.83203125" style="11" customWidth="1"/>
    <col min="122" max="122" width="2.83203125" style="11" customWidth="1"/>
    <col min="123" max="123" width="18.83203125" style="11" customWidth="1"/>
    <col min="124" max="124" width="2" style="11" customWidth="1"/>
    <col min="125" max="125" width="14.83203125" style="11" customWidth="1"/>
    <col min="126" max="126" width="3.83203125" style="11" customWidth="1"/>
    <col min="127" max="127" width="15" style="11" customWidth="1"/>
    <col min="128" max="128" width="2.83203125" style="11" customWidth="1"/>
    <col min="129" max="129" width="18.83203125" style="11" customWidth="1"/>
    <col min="130" max="130" width="2.83203125" style="11" customWidth="1"/>
    <col min="131" max="131" width="18.83203125" style="11" customWidth="1"/>
    <col min="132" max="132" width="5.1640625" style="11" customWidth="1"/>
    <col min="133" max="139" width="9.33203125" style="11" customWidth="1"/>
    <col min="140" max="140" width="5.1640625" style="11" customWidth="1"/>
    <col min="141" max="141" width="18.83203125" style="11" customWidth="1"/>
    <col min="142" max="142" width="2.83203125" style="11" customWidth="1"/>
    <col min="143" max="143" width="18.83203125" style="11" customWidth="1"/>
    <col min="144" max="144" width="2.83203125" style="11" customWidth="1"/>
    <col min="145" max="145" width="28.83203125" style="11" customWidth="1"/>
    <col min="146" max="146" width="2.83203125" style="11" customWidth="1"/>
    <col min="147" max="147" width="25.33203125" style="11" customWidth="1"/>
    <col min="148" max="148" width="18" style="11" customWidth="1"/>
    <col min="149" max="151" width="14.1640625" style="11" customWidth="1"/>
    <col min="152" max="152" width="16.5" style="11" customWidth="1"/>
    <col min="153" max="153" width="18.33203125" style="11" customWidth="1"/>
    <col min="154" max="155" width="14.6640625" style="11" customWidth="1"/>
    <col min="156" max="156" width="14.33203125" style="11" customWidth="1"/>
    <col min="157" max="157" width="20.83203125" style="11" customWidth="1"/>
    <col min="158" max="158" width="16.5" style="11" customWidth="1"/>
    <col min="159" max="159" width="19.5" style="11" customWidth="1"/>
    <col min="160" max="160" width="18.1640625" style="11" customWidth="1"/>
    <col min="161" max="161" width="20.5" style="11" customWidth="1"/>
    <col min="162" max="162" width="22.6640625" style="11" customWidth="1"/>
    <col min="163" max="164" width="9.33203125" style="11" customWidth="1"/>
    <col min="165" max="16384" width="8.83203125" style="11"/>
  </cols>
  <sheetData>
    <row r="1" spans="1:12" ht="18" customHeight="1" x14ac:dyDescent="0.2">
      <c r="D1" s="10"/>
      <c r="E1" s="147"/>
      <c r="F1" s="10"/>
      <c r="G1" s="148"/>
      <c r="H1" s="148"/>
      <c r="I1" s="148"/>
      <c r="J1" s="18"/>
      <c r="K1" s="18"/>
      <c r="L1" s="19"/>
    </row>
    <row r="2" spans="1:12" ht="20.100000000000001" customHeight="1" x14ac:dyDescent="0.3">
      <c r="B2" s="135" t="s">
        <v>245</v>
      </c>
      <c r="C2" s="149"/>
      <c r="D2" s="150"/>
      <c r="E2" s="147"/>
      <c r="F2" s="150"/>
      <c r="G2" s="150"/>
      <c r="H2" s="150"/>
      <c r="I2" s="150"/>
      <c r="J2" s="151"/>
      <c r="K2" s="151"/>
      <c r="L2" s="19"/>
    </row>
    <row r="3" spans="1:12" ht="18" customHeight="1" x14ac:dyDescent="0.25">
      <c r="B3" s="2" t="s">
        <v>141</v>
      </c>
      <c r="C3" s="149"/>
      <c r="D3" s="150"/>
      <c r="E3" s="152"/>
      <c r="F3" s="150"/>
      <c r="G3" s="153"/>
      <c r="H3" s="153"/>
      <c r="I3" s="153"/>
      <c r="J3" s="87"/>
      <c r="K3" s="87"/>
      <c r="L3" s="12"/>
    </row>
    <row r="4" spans="1:12" ht="18" customHeight="1" x14ac:dyDescent="0.25">
      <c r="B4" s="2"/>
      <c r="C4" s="149"/>
      <c r="D4" s="150"/>
      <c r="E4" s="152"/>
      <c r="F4" s="150"/>
      <c r="G4" s="153"/>
      <c r="H4" s="153"/>
      <c r="I4" s="153"/>
      <c r="J4" s="87"/>
      <c r="K4" s="87"/>
      <c r="L4" s="12"/>
    </row>
    <row r="5" spans="1:12" ht="54" x14ac:dyDescent="0.25">
      <c r="A5" s="2"/>
      <c r="B5" s="2"/>
      <c r="C5" s="2"/>
      <c r="D5" s="2"/>
      <c r="E5" s="9"/>
      <c r="F5" s="355" t="s">
        <v>2</v>
      </c>
      <c r="G5" s="8"/>
      <c r="H5" s="355" t="s">
        <v>1</v>
      </c>
      <c r="I5" s="43"/>
      <c r="J5" s="356" t="s">
        <v>3</v>
      </c>
      <c r="K5" s="45"/>
      <c r="L5" s="12"/>
    </row>
    <row r="6" spans="1:12" ht="18" customHeight="1" x14ac:dyDescent="0.25">
      <c r="A6" s="2"/>
      <c r="B6" s="2"/>
      <c r="C6" s="2"/>
      <c r="D6" s="2"/>
      <c r="E6" s="9"/>
      <c r="F6" s="43"/>
      <c r="G6" s="154"/>
      <c r="H6" s="43"/>
      <c r="I6" s="154"/>
      <c r="J6" s="43"/>
      <c r="K6" s="45"/>
      <c r="L6" s="8"/>
    </row>
    <row r="7" spans="1:12" s="19" customFormat="1" ht="18" customHeight="1" x14ac:dyDescent="0.25">
      <c r="A7" s="12"/>
      <c r="B7" s="98" t="s">
        <v>179</v>
      </c>
      <c r="C7" s="12"/>
      <c r="D7" s="12"/>
      <c r="E7" s="8"/>
      <c r="F7" s="155">
        <v>1534</v>
      </c>
      <c r="G7" s="32"/>
      <c r="H7" s="155">
        <v>1324</v>
      </c>
      <c r="I7" s="32"/>
      <c r="J7" s="15">
        <v>-0.14000000000000001</v>
      </c>
      <c r="K7" s="115"/>
      <c r="L7" s="12"/>
    </row>
    <row r="8" spans="1:12" s="19" customFormat="1" ht="18" customHeight="1" x14ac:dyDescent="0.25">
      <c r="A8" s="12"/>
      <c r="B8" s="98" t="s">
        <v>246</v>
      </c>
      <c r="C8" s="12"/>
      <c r="D8" s="12"/>
      <c r="E8" s="8"/>
      <c r="F8" s="208">
        <v>659</v>
      </c>
      <c r="G8" s="8"/>
      <c r="H8" s="208">
        <v>728</v>
      </c>
      <c r="I8" s="8"/>
      <c r="J8" s="15">
        <v>0.1</v>
      </c>
      <c r="K8" s="115"/>
      <c r="L8" s="12"/>
    </row>
    <row r="9" spans="1:12" ht="18" customHeight="1" x14ac:dyDescent="0.25">
      <c r="A9" s="2"/>
      <c r="B9" s="46" t="s">
        <v>210</v>
      </c>
      <c r="C9" s="47"/>
      <c r="D9" s="241"/>
      <c r="E9" s="74"/>
      <c r="F9" s="197">
        <v>2193</v>
      </c>
      <c r="G9" s="74"/>
      <c r="H9" s="197">
        <v>2052</v>
      </c>
      <c r="I9" s="74"/>
      <c r="J9" s="28">
        <v>-0.06</v>
      </c>
      <c r="K9" s="29"/>
      <c r="L9" s="8"/>
    </row>
    <row r="10" spans="1:12" ht="18" customHeight="1" x14ac:dyDescent="0.25">
      <c r="A10" s="2"/>
      <c r="B10" s="39" t="s">
        <v>247</v>
      </c>
      <c r="C10" s="47"/>
      <c r="D10" s="47"/>
      <c r="E10" s="3"/>
      <c r="F10" s="198">
        <v>2971</v>
      </c>
      <c r="G10" s="74"/>
      <c r="H10" s="198">
        <v>1830</v>
      </c>
      <c r="I10" s="74"/>
      <c r="J10" s="15">
        <v>-0.38</v>
      </c>
      <c r="K10" s="16"/>
      <c r="L10" s="9"/>
    </row>
    <row r="11" spans="1:12" ht="26.25" customHeight="1" x14ac:dyDescent="0.25">
      <c r="A11" s="2"/>
      <c r="B11" s="39"/>
      <c r="C11" s="39" t="s">
        <v>147</v>
      </c>
      <c r="D11" s="47"/>
      <c r="E11" s="3"/>
      <c r="F11" s="198">
        <v>216</v>
      </c>
      <c r="G11" s="74"/>
      <c r="H11" s="198">
        <v>168</v>
      </c>
      <c r="I11" s="74"/>
      <c r="J11" s="15">
        <v>-0.22</v>
      </c>
      <c r="K11" s="16"/>
      <c r="L11" s="8"/>
    </row>
    <row r="12" spans="1:12" ht="18" customHeight="1" x14ac:dyDescent="0.25">
      <c r="A12" s="2"/>
      <c r="B12" s="39"/>
      <c r="C12" s="39" t="s">
        <v>40</v>
      </c>
      <c r="D12" s="47"/>
      <c r="E12" s="3"/>
      <c r="F12" s="198">
        <v>-118</v>
      </c>
      <c r="G12" s="74"/>
      <c r="H12" s="198">
        <v>-61</v>
      </c>
      <c r="I12" s="74"/>
      <c r="J12" s="15">
        <v>0.48</v>
      </c>
      <c r="K12" s="16"/>
      <c r="L12" s="8"/>
    </row>
    <row r="13" spans="1:12" ht="18" customHeight="1" x14ac:dyDescent="0.25">
      <c r="A13" s="2"/>
      <c r="B13" s="39"/>
      <c r="C13" s="39" t="s">
        <v>45</v>
      </c>
      <c r="D13" s="47"/>
      <c r="E13" s="3"/>
      <c r="F13" s="198">
        <v>-9</v>
      </c>
      <c r="G13" s="74"/>
      <c r="H13" s="198">
        <v>3</v>
      </c>
      <c r="I13" s="74"/>
      <c r="J13" s="15" t="s">
        <v>8</v>
      </c>
      <c r="K13" s="16"/>
      <c r="L13" s="8"/>
    </row>
    <row r="14" spans="1:12" ht="18" customHeight="1" x14ac:dyDescent="0.25">
      <c r="A14" s="2"/>
      <c r="B14" s="39"/>
      <c r="C14" s="39" t="s">
        <v>248</v>
      </c>
      <c r="D14" s="47"/>
      <c r="E14" s="3"/>
      <c r="F14" s="199">
        <v>23</v>
      </c>
      <c r="G14" s="74"/>
      <c r="H14" s="199">
        <v>13</v>
      </c>
      <c r="I14" s="74"/>
      <c r="J14" s="15">
        <v>-0.43</v>
      </c>
      <c r="K14" s="16"/>
      <c r="L14" s="8"/>
    </row>
    <row r="15" spans="1:12" ht="18" customHeight="1" x14ac:dyDescent="0.25">
      <c r="A15" s="2"/>
      <c r="B15" s="39" t="s">
        <v>212</v>
      </c>
      <c r="C15" s="47"/>
      <c r="D15" s="47"/>
      <c r="E15" s="3"/>
      <c r="F15" s="200">
        <v>112</v>
      </c>
      <c r="G15" s="74"/>
      <c r="H15" s="200">
        <v>123</v>
      </c>
      <c r="I15" s="74"/>
      <c r="J15" s="15">
        <v>0.1</v>
      </c>
      <c r="K15" s="16"/>
      <c r="L15" s="2"/>
    </row>
    <row r="16" spans="1:12" ht="18" customHeight="1" x14ac:dyDescent="0.25">
      <c r="A16" s="2"/>
      <c r="B16" s="39" t="s">
        <v>213</v>
      </c>
      <c r="C16" s="47"/>
      <c r="D16" s="47"/>
      <c r="E16" s="3"/>
      <c r="F16" s="201">
        <v>-890</v>
      </c>
      <c r="G16" s="74"/>
      <c r="H16" s="201">
        <v>99</v>
      </c>
      <c r="I16" s="74"/>
      <c r="J16" s="15" t="s">
        <v>8</v>
      </c>
      <c r="K16" s="16"/>
      <c r="L16" s="2"/>
    </row>
    <row r="17" spans="1:12" ht="18" customHeight="1" x14ac:dyDescent="0.25">
      <c r="A17" s="2"/>
      <c r="B17" s="39" t="s">
        <v>214</v>
      </c>
      <c r="C17" s="47"/>
      <c r="D17" s="47"/>
      <c r="E17" s="3"/>
      <c r="F17" s="199">
        <v>-270</v>
      </c>
      <c r="G17" s="74"/>
      <c r="H17" s="199">
        <v>24</v>
      </c>
      <c r="I17" s="74"/>
      <c r="J17" s="15" t="s">
        <v>8</v>
      </c>
      <c r="K17" s="16"/>
      <c r="L17" s="2"/>
    </row>
    <row r="18" spans="1:12" s="97" customFormat="1" ht="18" customHeight="1" x14ac:dyDescent="0.25">
      <c r="A18" s="93"/>
      <c r="B18" s="46" t="s">
        <v>54</v>
      </c>
      <c r="C18" s="241"/>
      <c r="D18" s="241"/>
      <c r="E18" s="74"/>
      <c r="F18" s="197">
        <v>-620</v>
      </c>
      <c r="G18" s="74"/>
      <c r="H18" s="197">
        <v>75</v>
      </c>
      <c r="I18" s="74"/>
      <c r="J18" s="28" t="s">
        <v>8</v>
      </c>
      <c r="K18" s="29"/>
      <c r="L18" s="93"/>
    </row>
    <row r="19" spans="1:12" ht="18" customHeight="1" x14ac:dyDescent="0.25">
      <c r="A19" s="2"/>
      <c r="B19" s="39" t="s">
        <v>120</v>
      </c>
      <c r="C19" s="47"/>
      <c r="D19" s="47"/>
      <c r="E19" s="3"/>
      <c r="F19" s="202">
        <v>-4</v>
      </c>
      <c r="G19" s="74"/>
      <c r="H19" s="202">
        <v>3</v>
      </c>
      <c r="I19" s="74"/>
      <c r="J19" s="15" t="s">
        <v>8</v>
      </c>
      <c r="K19" s="16"/>
      <c r="L19" s="2"/>
    </row>
    <row r="20" spans="1:12" s="97" customFormat="1" ht="18" customHeight="1" thickBot="1" x14ac:dyDescent="0.3">
      <c r="A20" s="93"/>
      <c r="B20" s="46" t="s">
        <v>215</v>
      </c>
      <c r="C20" s="241"/>
      <c r="D20" s="241"/>
      <c r="E20" s="74"/>
      <c r="F20" s="203">
        <v>-616</v>
      </c>
      <c r="G20" s="74"/>
      <c r="H20" s="203">
        <v>72</v>
      </c>
      <c r="I20" s="74"/>
      <c r="J20" s="28" t="s">
        <v>8</v>
      </c>
      <c r="K20" s="29"/>
      <c r="L20" s="93"/>
    </row>
    <row r="21" spans="1:12" ht="18" customHeight="1" thickTop="1" x14ac:dyDescent="0.25">
      <c r="A21" s="2"/>
      <c r="B21" s="39" t="s">
        <v>152</v>
      </c>
      <c r="C21" s="47"/>
      <c r="D21" s="47"/>
      <c r="E21" s="3"/>
      <c r="F21" s="204">
        <v>125</v>
      </c>
      <c r="G21" s="118"/>
      <c r="H21" s="204">
        <v>97</v>
      </c>
      <c r="I21" s="118"/>
      <c r="J21" s="15">
        <v>-0.22</v>
      </c>
      <c r="K21" s="117"/>
      <c r="L21" s="2"/>
    </row>
    <row r="22" spans="1:12" ht="18" customHeight="1" x14ac:dyDescent="0.25">
      <c r="A22" s="2"/>
      <c r="B22" s="39" t="s">
        <v>153</v>
      </c>
      <c r="C22" s="47"/>
      <c r="D22" s="47"/>
      <c r="E22" s="3"/>
      <c r="F22" s="24">
        <v>123</v>
      </c>
      <c r="G22" s="164"/>
      <c r="H22" s="24">
        <v>99</v>
      </c>
      <c r="I22" s="118"/>
      <c r="J22" s="15">
        <v>-0.2</v>
      </c>
      <c r="K22" s="117"/>
      <c r="L22" s="2"/>
    </row>
    <row r="23" spans="1:12" ht="18" customHeight="1" x14ac:dyDescent="0.25">
      <c r="A23" s="2"/>
      <c r="B23" s="39" t="s">
        <v>154</v>
      </c>
      <c r="C23" s="47"/>
      <c r="D23" s="47"/>
      <c r="E23" s="3"/>
      <c r="F23" s="146">
        <v>1.35</v>
      </c>
      <c r="G23" s="4"/>
      <c r="H23" s="146">
        <v>0.89</v>
      </c>
      <c r="I23" s="4"/>
      <c r="J23" s="351">
        <v>-4600</v>
      </c>
      <c r="K23" s="6"/>
      <c r="L23" s="2"/>
    </row>
    <row r="24" spans="1:12" ht="18" customHeight="1" x14ac:dyDescent="0.25">
      <c r="A24" s="2"/>
      <c r="B24" s="39"/>
      <c r="C24" s="47"/>
      <c r="D24" s="47"/>
      <c r="E24" s="3"/>
      <c r="F24" s="7"/>
      <c r="G24" s="4"/>
      <c r="H24" s="7"/>
      <c r="I24" s="4"/>
      <c r="J24" s="5"/>
      <c r="K24" s="6"/>
      <c r="L24" s="2"/>
    </row>
    <row r="25" spans="1:12" ht="18" customHeight="1" x14ac:dyDescent="0.25">
      <c r="A25" s="2"/>
      <c r="B25" s="39"/>
      <c r="C25" s="47"/>
      <c r="D25" s="47"/>
      <c r="E25" s="3"/>
      <c r="F25" s="7"/>
      <c r="G25" s="4"/>
      <c r="H25" s="7"/>
      <c r="I25" s="4"/>
      <c r="J25" s="5"/>
      <c r="K25" s="6"/>
      <c r="L25" s="2"/>
    </row>
    <row r="26" spans="1:12" ht="18" customHeight="1" x14ac:dyDescent="0.3">
      <c r="A26" s="2"/>
      <c r="B26" s="93" t="s">
        <v>216</v>
      </c>
      <c r="C26" s="2"/>
      <c r="D26" s="2"/>
      <c r="E26" s="141"/>
      <c r="F26" s="205"/>
      <c r="G26" s="105"/>
      <c r="H26" s="205"/>
      <c r="I26" s="105"/>
      <c r="J26" s="2"/>
      <c r="K26" s="9"/>
      <c r="L26" s="2"/>
    </row>
    <row r="27" spans="1:12" s="19" customFormat="1" ht="21" customHeight="1" x14ac:dyDescent="0.3">
      <c r="A27" s="12"/>
      <c r="B27" s="12"/>
      <c r="C27" s="12" t="s">
        <v>249</v>
      </c>
      <c r="D27" s="12"/>
      <c r="E27" s="14"/>
      <c r="F27" s="109">
        <v>948</v>
      </c>
      <c r="G27" s="105"/>
      <c r="H27" s="109">
        <v>772</v>
      </c>
      <c r="I27" s="105"/>
      <c r="J27" s="15">
        <v>-0.19</v>
      </c>
      <c r="K27" s="16"/>
      <c r="L27" s="2"/>
    </row>
    <row r="28" spans="1:12" s="19" customFormat="1" ht="21" customHeight="1" x14ac:dyDescent="0.3">
      <c r="A28" s="12"/>
      <c r="B28" s="12"/>
      <c r="C28" s="12" t="s">
        <v>250</v>
      </c>
      <c r="D28" s="12"/>
      <c r="E28" s="14"/>
      <c r="F28" s="23">
        <v>1168</v>
      </c>
      <c r="G28" s="25"/>
      <c r="H28" s="23">
        <v>1255</v>
      </c>
      <c r="I28" s="27"/>
      <c r="J28" s="15">
        <v>7.0000000000000007E-2</v>
      </c>
      <c r="K28" s="16"/>
      <c r="L28" s="9"/>
    </row>
    <row r="29" spans="1:12" s="19" customFormat="1" ht="20.25" customHeight="1" x14ac:dyDescent="0.3">
      <c r="A29" s="12"/>
      <c r="B29" s="12"/>
      <c r="C29" s="12" t="s">
        <v>251</v>
      </c>
      <c r="D29" s="12"/>
      <c r="E29" s="14"/>
      <c r="F29" s="65">
        <v>77</v>
      </c>
      <c r="G29" s="105"/>
      <c r="H29" s="65">
        <v>25</v>
      </c>
      <c r="I29" s="105"/>
      <c r="J29" s="15">
        <v>-0.68</v>
      </c>
      <c r="K29" s="16"/>
      <c r="L29" s="2"/>
    </row>
    <row r="30" spans="1:12" ht="21.75" customHeight="1" thickBot="1" x14ac:dyDescent="0.35">
      <c r="A30" s="2"/>
      <c r="B30" s="93"/>
      <c r="C30" s="39"/>
      <c r="D30" s="2" t="s">
        <v>166</v>
      </c>
      <c r="E30" s="141"/>
      <c r="F30" s="163">
        <v>2193</v>
      </c>
      <c r="G30" s="143"/>
      <c r="H30" s="163">
        <v>2052</v>
      </c>
      <c r="I30" s="105"/>
      <c r="J30" s="15">
        <v>-0.06</v>
      </c>
      <c r="K30" s="9"/>
      <c r="L30" s="2"/>
    </row>
    <row r="31" spans="1:12" s="19" customFormat="1" ht="18" customHeight="1" thickTop="1" x14ac:dyDescent="0.3">
      <c r="A31" s="12"/>
      <c r="B31" s="12"/>
      <c r="C31" s="2"/>
      <c r="D31" s="2"/>
      <c r="E31" s="14"/>
      <c r="F31" s="125"/>
      <c r="G31" s="105"/>
      <c r="H31" s="125"/>
      <c r="I31" s="105"/>
      <c r="J31" s="15"/>
      <c r="K31" s="16"/>
      <c r="L31" s="2"/>
    </row>
    <row r="32" spans="1:12" s="19" customFormat="1" ht="18" customHeight="1" x14ac:dyDescent="0.3">
      <c r="A32" s="12"/>
      <c r="B32" s="229" t="s">
        <v>252</v>
      </c>
      <c r="C32" s="2"/>
      <c r="D32" s="2"/>
      <c r="E32" s="14"/>
      <c r="F32" s="17"/>
      <c r="G32" s="105"/>
      <c r="H32" s="17"/>
      <c r="I32" s="105"/>
      <c r="J32" s="15"/>
      <c r="K32" s="16"/>
      <c r="L32" s="2"/>
    </row>
    <row r="33" spans="1:12" s="19" customFormat="1" ht="18" customHeight="1" x14ac:dyDescent="0.3">
      <c r="A33" s="12"/>
      <c r="B33" s="13" t="s">
        <v>253</v>
      </c>
      <c r="C33" s="12"/>
      <c r="D33" s="2"/>
      <c r="E33" s="14"/>
      <c r="F33" s="125">
        <v>41.1</v>
      </c>
      <c r="G33" s="105"/>
      <c r="H33" s="125">
        <v>13.3</v>
      </c>
      <c r="I33" s="105"/>
      <c r="J33" s="15">
        <v>-0.68</v>
      </c>
      <c r="K33" s="16"/>
      <c r="L33" s="2"/>
    </row>
    <row r="34" spans="1:12" s="19" customFormat="1" ht="18" customHeight="1" x14ac:dyDescent="0.3">
      <c r="A34" s="12"/>
      <c r="B34" s="13" t="s">
        <v>254</v>
      </c>
      <c r="C34" s="12"/>
      <c r="D34" s="2"/>
      <c r="E34" s="14"/>
      <c r="F34" s="66">
        <v>43.3</v>
      </c>
      <c r="G34" s="166"/>
      <c r="H34" s="66">
        <v>14.5</v>
      </c>
      <c r="I34" s="105"/>
      <c r="J34" s="15">
        <v>-0.67</v>
      </c>
      <c r="K34" s="16"/>
      <c r="L34" s="2"/>
    </row>
    <row r="35" spans="1:12" s="19" customFormat="1" ht="18" customHeight="1" x14ac:dyDescent="0.3">
      <c r="A35" s="12"/>
      <c r="B35" s="13" t="s">
        <v>241</v>
      </c>
      <c r="C35" s="12"/>
      <c r="D35" s="2"/>
      <c r="E35" s="14"/>
      <c r="F35" s="250">
        <v>42.3</v>
      </c>
      <c r="G35" s="105"/>
      <c r="H35" s="250">
        <v>13.2</v>
      </c>
      <c r="I35" s="105"/>
      <c r="J35" s="15">
        <v>-0.69</v>
      </c>
      <c r="K35" s="16"/>
      <c r="L35" s="2"/>
    </row>
    <row r="36" spans="1:12" s="19" customFormat="1" ht="18" customHeight="1" x14ac:dyDescent="0.3">
      <c r="A36" s="12"/>
      <c r="B36" s="13" t="s">
        <v>233</v>
      </c>
      <c r="C36" s="13"/>
      <c r="D36" s="2"/>
      <c r="E36" s="14"/>
      <c r="F36" s="59">
        <v>9.5999999999999992E-3</v>
      </c>
      <c r="G36" s="105"/>
      <c r="H36" s="59">
        <v>1.23E-2</v>
      </c>
      <c r="I36" s="105"/>
      <c r="J36" s="15"/>
      <c r="K36" s="16"/>
      <c r="L36" s="2"/>
    </row>
    <row r="37" spans="1:12" s="19" customFormat="1" ht="18" customHeight="1" x14ac:dyDescent="0.3">
      <c r="A37" s="12"/>
      <c r="B37" s="13" t="s">
        <v>234</v>
      </c>
      <c r="C37" s="13"/>
      <c r="D37" s="2"/>
      <c r="E37" s="14"/>
      <c r="F37" s="59">
        <v>5.1000000000000004E-3</v>
      </c>
      <c r="G37" s="105"/>
      <c r="H37" s="59">
        <v>3.7000000000000002E-3</v>
      </c>
      <c r="I37" s="105"/>
      <c r="J37" s="15"/>
      <c r="K37" s="16"/>
      <c r="L37" s="2"/>
    </row>
    <row r="38" spans="1:12" s="19" customFormat="1" ht="18" customHeight="1" x14ac:dyDescent="0.3">
      <c r="A38" s="12"/>
      <c r="B38" s="13" t="s">
        <v>235</v>
      </c>
      <c r="C38" s="13"/>
      <c r="D38" s="2"/>
      <c r="E38" s="14"/>
      <c r="F38" s="59">
        <v>6.8999999999999999E-3</v>
      </c>
      <c r="G38" s="105"/>
      <c r="H38" s="59">
        <v>5.3E-3</v>
      </c>
      <c r="I38" s="105"/>
      <c r="J38" s="15"/>
      <c r="K38" s="16"/>
      <c r="L38" s="2"/>
    </row>
    <row r="39" spans="1:12" s="19" customFormat="1" ht="18" customHeight="1" x14ac:dyDescent="0.3">
      <c r="A39" s="12"/>
      <c r="B39" s="13"/>
      <c r="C39" s="13"/>
      <c r="D39" s="2"/>
      <c r="E39" s="14"/>
      <c r="F39" s="59"/>
      <c r="G39" s="105"/>
      <c r="H39" s="59"/>
      <c r="I39" s="105"/>
      <c r="J39" s="15"/>
      <c r="K39" s="16"/>
      <c r="L39" s="2"/>
    </row>
    <row r="40" spans="1:12" s="19" customFormat="1" ht="18" customHeight="1" x14ac:dyDescent="0.3">
      <c r="A40" s="12"/>
      <c r="B40" s="229" t="s">
        <v>255</v>
      </c>
      <c r="C40" s="2"/>
      <c r="D40" s="2"/>
      <c r="E40" s="14"/>
      <c r="F40" s="17"/>
      <c r="G40" s="105"/>
      <c r="H40" s="17"/>
      <c r="I40" s="105"/>
      <c r="J40" s="15"/>
      <c r="K40" s="16"/>
      <c r="L40" s="2"/>
    </row>
    <row r="41" spans="1:12" s="19" customFormat="1" ht="18" customHeight="1" x14ac:dyDescent="0.3">
      <c r="A41" s="12"/>
      <c r="B41" s="13" t="s">
        <v>253</v>
      </c>
      <c r="C41" s="12"/>
      <c r="D41" s="2"/>
      <c r="E41" s="14"/>
      <c r="F41" s="125">
        <v>20</v>
      </c>
      <c r="G41" s="105"/>
      <c r="H41" s="125">
        <v>21.9</v>
      </c>
      <c r="I41" s="105"/>
      <c r="J41" s="15">
        <v>0.09</v>
      </c>
      <c r="K41" s="16"/>
      <c r="L41" s="2"/>
    </row>
    <row r="42" spans="1:12" s="19" customFormat="1" ht="18" customHeight="1" x14ac:dyDescent="0.3">
      <c r="A42" s="12"/>
      <c r="B42" s="13" t="s">
        <v>254</v>
      </c>
      <c r="C42" s="12"/>
      <c r="D42" s="2"/>
      <c r="E42" s="14"/>
      <c r="F42" s="66">
        <v>32.700000000000003</v>
      </c>
      <c r="G42" s="166"/>
      <c r="H42" s="66">
        <v>36.5</v>
      </c>
      <c r="I42" s="105"/>
      <c r="J42" s="15">
        <v>0.12</v>
      </c>
      <c r="K42" s="16"/>
      <c r="L42" s="2"/>
    </row>
    <row r="43" spans="1:12" s="19" customFormat="1" ht="18" customHeight="1" x14ac:dyDescent="0.3">
      <c r="A43" s="12"/>
      <c r="B43" s="13" t="s">
        <v>241</v>
      </c>
      <c r="C43" s="12"/>
      <c r="D43" s="2"/>
      <c r="E43" s="14"/>
      <c r="F43" s="250">
        <v>19.399999999999999</v>
      </c>
      <c r="G43" s="105"/>
      <c r="H43" s="250">
        <v>21.3</v>
      </c>
      <c r="I43" s="105"/>
      <c r="J43" s="15">
        <v>0.1</v>
      </c>
      <c r="K43" s="16"/>
      <c r="L43" s="2"/>
    </row>
    <row r="44" spans="1:12" s="19" customFormat="1" ht="18" customHeight="1" x14ac:dyDescent="0.3">
      <c r="A44" s="12"/>
      <c r="B44" s="13" t="s">
        <v>233</v>
      </c>
      <c r="C44" s="13"/>
      <c r="D44" s="2"/>
      <c r="E44" s="14"/>
      <c r="F44" s="59">
        <v>2.7199999999999998E-2</v>
      </c>
      <c r="G44" s="105"/>
      <c r="H44" s="59">
        <v>2.4799999999999999E-2</v>
      </c>
      <c r="I44" s="105"/>
      <c r="J44" s="15"/>
      <c r="K44" s="16"/>
      <c r="L44" s="2"/>
    </row>
    <row r="45" spans="1:12" s="19" customFormat="1" ht="18" customHeight="1" x14ac:dyDescent="0.3">
      <c r="A45" s="12"/>
      <c r="B45" s="13" t="s">
        <v>256</v>
      </c>
      <c r="C45" s="13"/>
      <c r="D45" s="2"/>
      <c r="E45" s="14"/>
      <c r="F45" s="59">
        <v>1.38E-2</v>
      </c>
      <c r="G45" s="105"/>
      <c r="H45" s="59">
        <v>1.2800000000000001E-2</v>
      </c>
      <c r="I45" s="105"/>
      <c r="J45" s="15"/>
      <c r="K45" s="16"/>
      <c r="L45" s="2"/>
    </row>
    <row r="46" spans="1:12" s="19" customFormat="1" ht="18" customHeight="1" x14ac:dyDescent="0.3">
      <c r="A46" s="12"/>
      <c r="B46" s="13" t="s">
        <v>257</v>
      </c>
      <c r="C46" s="13"/>
      <c r="D46" s="2"/>
      <c r="E46" s="14"/>
      <c r="F46" s="59">
        <v>1.2999999999999999E-2</v>
      </c>
      <c r="G46" s="105"/>
      <c r="H46" s="59">
        <v>1.26E-2</v>
      </c>
      <c r="I46" s="105"/>
      <c r="J46" s="15"/>
      <c r="K46" s="16"/>
      <c r="L46" s="2"/>
    </row>
    <row r="47" spans="1:12" s="19" customFormat="1" ht="18" customHeight="1" x14ac:dyDescent="0.3">
      <c r="A47" s="12"/>
      <c r="B47" s="13"/>
      <c r="C47" s="13"/>
      <c r="D47" s="2"/>
      <c r="E47" s="14"/>
      <c r="F47" s="59"/>
      <c r="G47" s="105"/>
      <c r="H47" s="59"/>
      <c r="I47" s="105"/>
      <c r="J47" s="15"/>
      <c r="K47" s="16"/>
      <c r="L47" s="2"/>
    </row>
    <row r="48" spans="1:12" s="19" customFormat="1" ht="18" customHeight="1" x14ac:dyDescent="0.3">
      <c r="A48" s="12"/>
      <c r="B48" s="229" t="s">
        <v>258</v>
      </c>
      <c r="C48" s="2"/>
      <c r="D48" s="2"/>
      <c r="E48" s="14"/>
      <c r="F48" s="17"/>
      <c r="G48" s="105"/>
      <c r="H48" s="17"/>
      <c r="I48" s="105"/>
      <c r="J48" s="15"/>
      <c r="K48" s="16"/>
      <c r="L48" s="2"/>
    </row>
    <row r="49" spans="1:12" s="19" customFormat="1" ht="20.25" customHeight="1" x14ac:dyDescent="0.3">
      <c r="A49" s="12"/>
      <c r="B49" s="13" t="s">
        <v>253</v>
      </c>
      <c r="C49" s="12"/>
      <c r="D49" s="2"/>
      <c r="E49" s="14"/>
      <c r="F49" s="125">
        <v>3.9</v>
      </c>
      <c r="G49" s="105"/>
      <c r="H49" s="125">
        <v>3</v>
      </c>
      <c r="I49" s="105"/>
      <c r="J49" s="15">
        <v>-0.23</v>
      </c>
      <c r="K49" s="16"/>
      <c r="L49" s="2"/>
    </row>
    <row r="50" spans="1:12" s="19" customFormat="1" ht="18" customHeight="1" x14ac:dyDescent="0.3">
      <c r="A50" s="12"/>
      <c r="B50" s="13"/>
      <c r="C50" s="13"/>
      <c r="D50" s="2"/>
      <c r="E50" s="14"/>
      <c r="F50" s="59"/>
      <c r="G50" s="105"/>
      <c r="H50" s="59"/>
      <c r="I50" s="105"/>
      <c r="J50" s="15"/>
      <c r="K50" s="16"/>
      <c r="L50" s="2"/>
    </row>
    <row r="51" spans="1:12" s="19" customFormat="1" ht="18" customHeight="1" thickBot="1" x14ac:dyDescent="0.3">
      <c r="A51" s="12"/>
      <c r="B51" s="129"/>
      <c r="C51" s="130"/>
      <c r="D51" s="131"/>
      <c r="E51" s="131"/>
      <c r="F51" s="132"/>
      <c r="G51" s="132"/>
      <c r="H51" s="132"/>
      <c r="I51" s="132"/>
      <c r="J51" s="133"/>
      <c r="K51" s="133"/>
      <c r="L51" s="2"/>
    </row>
    <row r="52" spans="1:12" s="19" customFormat="1" ht="18" customHeight="1" thickTop="1" x14ac:dyDescent="0.3">
      <c r="A52" s="12"/>
      <c r="B52" s="12"/>
      <c r="C52" s="2"/>
      <c r="D52" s="2"/>
      <c r="E52" s="14"/>
      <c r="F52" s="17"/>
      <c r="G52" s="105"/>
      <c r="H52" s="17"/>
      <c r="I52" s="105"/>
      <c r="J52" s="15"/>
      <c r="K52" s="16"/>
      <c r="L52" s="2"/>
    </row>
    <row r="53" spans="1:12" s="19" customFormat="1" ht="18" customHeight="1" x14ac:dyDescent="0.3">
      <c r="A53" s="12"/>
      <c r="B53" s="160" t="s">
        <v>259</v>
      </c>
      <c r="C53" s="2" t="s">
        <v>260</v>
      </c>
      <c r="D53" s="2"/>
      <c r="E53" s="14"/>
      <c r="F53" s="17"/>
      <c r="G53" s="105"/>
      <c r="H53" s="17"/>
      <c r="I53" s="105"/>
      <c r="J53" s="15"/>
      <c r="K53" s="16"/>
      <c r="L53" s="2"/>
    </row>
    <row r="54" spans="1:12" s="19" customFormat="1" ht="18" customHeight="1" x14ac:dyDescent="0.3">
      <c r="A54" s="12"/>
      <c r="B54" s="160"/>
      <c r="C54" s="2" t="s">
        <v>261</v>
      </c>
      <c r="D54" s="2"/>
      <c r="E54" s="14"/>
      <c r="F54" s="17"/>
      <c r="G54" s="105"/>
      <c r="H54" s="17"/>
      <c r="I54" s="105"/>
      <c r="J54" s="15"/>
      <c r="K54" s="16"/>
      <c r="L54" s="2"/>
    </row>
    <row r="55" spans="1:12" s="19" customFormat="1" ht="18" customHeight="1" x14ac:dyDescent="0.3">
      <c r="A55" s="12"/>
      <c r="B55" s="160" t="s">
        <v>63</v>
      </c>
      <c r="C55" s="2" t="s">
        <v>262</v>
      </c>
      <c r="D55" s="2"/>
      <c r="E55" s="14"/>
      <c r="F55" s="17"/>
      <c r="G55" s="105"/>
      <c r="H55" s="17"/>
      <c r="I55" s="105"/>
      <c r="J55" s="15"/>
      <c r="K55" s="16"/>
      <c r="L55" s="2"/>
    </row>
    <row r="56" spans="1:12" s="19" customFormat="1" ht="18" customHeight="1" x14ac:dyDescent="0.3">
      <c r="A56" s="12"/>
      <c r="B56" s="160" t="s">
        <v>65</v>
      </c>
      <c r="C56" s="2" t="s">
        <v>263</v>
      </c>
      <c r="D56" s="2"/>
      <c r="E56" s="14"/>
      <c r="F56" s="17"/>
      <c r="G56" s="105"/>
      <c r="H56" s="17"/>
      <c r="I56" s="105"/>
      <c r="J56" s="15"/>
      <c r="K56" s="16"/>
      <c r="L56" s="2"/>
    </row>
    <row r="57" spans="1:12" s="19" customFormat="1" ht="18" customHeight="1" x14ac:dyDescent="0.3">
      <c r="A57" s="12"/>
      <c r="B57" s="160" t="s">
        <v>67</v>
      </c>
      <c r="C57" s="2" t="s">
        <v>264</v>
      </c>
      <c r="D57" s="2"/>
      <c r="E57" s="14"/>
      <c r="F57" s="17"/>
      <c r="G57" s="105"/>
      <c r="H57" s="17"/>
      <c r="I57" s="105"/>
      <c r="J57" s="15"/>
      <c r="K57" s="16"/>
      <c r="L57" s="2"/>
    </row>
    <row r="58" spans="1:12" s="19" customFormat="1" ht="18" customHeight="1" x14ac:dyDescent="0.3">
      <c r="A58" s="12"/>
      <c r="B58" s="160"/>
      <c r="C58" s="2"/>
      <c r="D58" s="2"/>
      <c r="E58" s="14"/>
      <c r="F58" s="17"/>
      <c r="G58" s="105"/>
      <c r="H58" s="17"/>
      <c r="I58" s="105"/>
      <c r="J58" s="15"/>
      <c r="K58" s="16"/>
      <c r="L58" s="2"/>
    </row>
    <row r="59" spans="1:12" ht="18" customHeight="1" x14ac:dyDescent="0.25">
      <c r="A59" s="2"/>
      <c r="B59" s="2"/>
      <c r="C59" s="2"/>
      <c r="D59" s="2"/>
      <c r="E59" s="141"/>
      <c r="F59" s="2"/>
      <c r="G59" s="139"/>
      <c r="H59" s="2"/>
      <c r="I59" s="139"/>
      <c r="J59" s="144"/>
      <c r="K59" s="144"/>
      <c r="L59" s="2"/>
    </row>
    <row r="60" spans="1:12" ht="18" customHeight="1" x14ac:dyDescent="0.25">
      <c r="A60" s="2"/>
      <c r="B60" s="2" t="s">
        <v>71</v>
      </c>
      <c r="C60" s="12"/>
      <c r="D60" s="2"/>
      <c r="E60" s="2"/>
      <c r="F60" s="139"/>
      <c r="G60" s="139"/>
      <c r="H60" s="139"/>
      <c r="I60" s="139"/>
      <c r="J60" s="144"/>
      <c r="K60" s="144"/>
      <c r="L60" s="2"/>
    </row>
    <row r="61" spans="1:12" ht="18" customHeight="1" x14ac:dyDescent="0.25">
      <c r="A61" s="2"/>
      <c r="B61" s="2" t="s">
        <v>72</v>
      </c>
      <c r="C61" s="2"/>
      <c r="D61" s="2"/>
      <c r="E61" s="2"/>
      <c r="F61" s="139"/>
      <c r="G61" s="139"/>
      <c r="H61" s="139"/>
      <c r="I61" s="139"/>
      <c r="J61" s="144"/>
      <c r="K61" s="144"/>
      <c r="L61" s="2"/>
    </row>
    <row r="62" spans="1:12" ht="18" customHeight="1" x14ac:dyDescent="0.25">
      <c r="A62" s="2"/>
      <c r="B62" s="2"/>
      <c r="C62" s="2"/>
      <c r="D62" s="2"/>
      <c r="E62" s="2"/>
      <c r="F62" s="139"/>
      <c r="G62" s="139"/>
      <c r="H62" s="139"/>
      <c r="I62" s="139"/>
      <c r="J62" s="144"/>
      <c r="K62" s="144"/>
      <c r="L62" s="2"/>
    </row>
    <row r="63" spans="1:12" ht="18" customHeight="1" x14ac:dyDescent="0.25">
      <c r="A63" s="2"/>
      <c r="B63" s="2"/>
      <c r="C63" s="2"/>
      <c r="D63" s="2"/>
      <c r="E63" s="2"/>
      <c r="F63" s="139"/>
      <c r="G63" s="139"/>
      <c r="H63" s="139"/>
      <c r="I63" s="139"/>
      <c r="J63" s="144"/>
      <c r="K63" s="144"/>
      <c r="L63" s="2"/>
    </row>
    <row r="64" spans="1:12" ht="18" customHeight="1" x14ac:dyDescent="0.25">
      <c r="A64" s="2"/>
      <c r="B64" s="2"/>
      <c r="C64" s="2"/>
      <c r="D64" s="2"/>
      <c r="E64" s="2"/>
      <c r="F64" s="139"/>
      <c r="G64" s="139"/>
      <c r="H64" s="139"/>
      <c r="I64" s="139"/>
      <c r="J64" s="144"/>
      <c r="K64" s="144"/>
      <c r="L64" s="2"/>
    </row>
  </sheetData>
  <pageMargins left="0" right="0" top="0.06" bottom="0.06" header="0" footer="0"/>
  <pageSetup scale="42" orientation="landscape" r:id="rId1"/>
  <headerFooter alignWithMargins="0">
    <oddFooter xml:space="preserve">&amp;R&amp;"Times New Roman,Bold"&amp;18Page 9
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showGridLines="0" zoomScale="80" workbookViewId="0">
      <pane xSplit="5" ySplit="6" topLeftCell="F7" activePane="bottomRight" state="frozen"/>
      <selection activeCell="F8" sqref="F8"/>
      <selection pane="topRight" activeCell="F8" sqref="F8"/>
      <selection pane="bottomLeft" activeCell="F8" sqref="F8"/>
      <selection pane="bottomRight" activeCell="F7" sqref="F7"/>
    </sheetView>
  </sheetViews>
  <sheetFormatPr defaultRowHeight="15" x14ac:dyDescent="0.2"/>
  <cols>
    <col min="1" max="3" width="4.83203125" style="11" customWidth="1"/>
    <col min="4" max="4" width="117.1640625" style="11" customWidth="1"/>
    <col min="5" max="5" width="2.83203125" style="11" customWidth="1"/>
    <col min="6" max="6" width="18.83203125" style="11" customWidth="1"/>
    <col min="7" max="7" width="3.83203125" style="136" customWidth="1"/>
    <col min="8" max="8" width="16" style="136" customWidth="1"/>
    <col min="9" max="9" width="2.83203125" style="136" customWidth="1"/>
    <col min="10" max="10" width="29.5" style="11" customWidth="1"/>
    <col min="11" max="11" width="7.5" style="11" customWidth="1"/>
    <col min="12" max="12" width="103.6640625" style="11" customWidth="1"/>
    <col min="13" max="16384" width="9.33203125" style="11"/>
  </cols>
  <sheetData>
    <row r="1" spans="1:12" ht="18" customHeight="1" x14ac:dyDescent="0.2">
      <c r="D1" s="10"/>
      <c r="E1" s="147"/>
      <c r="F1" s="10"/>
      <c r="G1" s="148"/>
      <c r="H1" s="148"/>
      <c r="I1" s="148"/>
      <c r="J1" s="236"/>
      <c r="K1" s="18"/>
      <c r="L1" s="19"/>
    </row>
    <row r="2" spans="1:12" ht="25.5" customHeight="1" x14ac:dyDescent="0.3">
      <c r="B2" s="135" t="s">
        <v>265</v>
      </c>
      <c r="C2" s="149"/>
      <c r="D2" s="150"/>
      <c r="E2" s="147"/>
      <c r="F2" s="150"/>
      <c r="G2" s="150"/>
      <c r="H2" s="150"/>
      <c r="I2" s="150"/>
      <c r="J2" s="236"/>
      <c r="K2" s="151"/>
      <c r="L2" s="19"/>
    </row>
    <row r="3" spans="1:12" ht="18" customHeight="1" x14ac:dyDescent="0.25">
      <c r="B3" s="36" t="s">
        <v>141</v>
      </c>
      <c r="C3" s="149"/>
      <c r="D3" s="150"/>
      <c r="E3" s="152"/>
      <c r="F3" s="150"/>
      <c r="G3" s="153"/>
      <c r="H3" s="237"/>
      <c r="I3" s="153"/>
      <c r="J3" s="53"/>
      <c r="K3" s="87"/>
      <c r="L3" s="12"/>
    </row>
    <row r="4" spans="1:12" ht="18" customHeight="1" x14ac:dyDescent="0.25">
      <c r="B4" s="36"/>
      <c r="C4" s="149"/>
      <c r="D4" s="150"/>
      <c r="E4" s="152"/>
      <c r="F4" s="150"/>
      <c r="G4" s="153"/>
      <c r="H4" s="237"/>
      <c r="I4" s="153"/>
      <c r="J4" s="53"/>
      <c r="K4" s="87"/>
      <c r="L4" s="12"/>
    </row>
    <row r="5" spans="1:12" ht="18" customHeight="1" x14ac:dyDescent="0.25">
      <c r="A5" s="2"/>
      <c r="B5" s="139"/>
      <c r="C5" s="211"/>
      <c r="D5" s="153"/>
      <c r="E5" s="238"/>
      <c r="F5" s="8"/>
      <c r="G5" s="8"/>
      <c r="H5" s="8"/>
      <c r="I5" s="8"/>
      <c r="J5" s="8"/>
      <c r="K5" s="8"/>
      <c r="L5" s="12"/>
    </row>
    <row r="6" spans="1:12" ht="54" x14ac:dyDescent="0.25">
      <c r="A6" s="2"/>
      <c r="B6" s="2"/>
      <c r="C6" s="2"/>
      <c r="D6" s="2"/>
      <c r="E6" s="9"/>
      <c r="F6" s="355" t="s">
        <v>2</v>
      </c>
      <c r="G6" s="8"/>
      <c r="H6" s="355" t="s">
        <v>1</v>
      </c>
      <c r="I6" s="43"/>
      <c r="J6" s="356" t="s">
        <v>3</v>
      </c>
      <c r="K6" s="45"/>
      <c r="L6" s="12"/>
    </row>
    <row r="7" spans="1:12" ht="14.25" customHeight="1" x14ac:dyDescent="0.25">
      <c r="A7" s="2"/>
      <c r="B7" s="2"/>
      <c r="C7" s="2"/>
      <c r="D7" s="2"/>
      <c r="E7" s="9"/>
      <c r="F7" s="43"/>
      <c r="G7" s="154"/>
      <c r="H7" s="43"/>
      <c r="I7" s="154"/>
      <c r="J7" s="43"/>
      <c r="K7" s="44"/>
      <c r="L7" s="8"/>
    </row>
    <row r="8" spans="1:12" s="19" customFormat="1" ht="21.75" customHeight="1" x14ac:dyDescent="0.25">
      <c r="A8" s="12"/>
      <c r="B8" s="98" t="s">
        <v>179</v>
      </c>
      <c r="C8" s="12"/>
      <c r="D8" s="12"/>
      <c r="E8" s="8"/>
      <c r="F8" s="155">
        <v>195</v>
      </c>
      <c r="G8" s="32"/>
      <c r="H8" s="155">
        <v>1043</v>
      </c>
      <c r="I8" s="32"/>
      <c r="J8" s="15" t="s">
        <v>8</v>
      </c>
      <c r="K8" s="240"/>
      <c r="L8" s="12"/>
    </row>
    <row r="9" spans="1:12" s="19" customFormat="1" ht="21.75" customHeight="1" x14ac:dyDescent="0.25">
      <c r="A9" s="12"/>
      <c r="B9" s="98" t="s">
        <v>180</v>
      </c>
      <c r="C9" s="12"/>
      <c r="D9" s="12"/>
      <c r="E9" s="8"/>
      <c r="F9" s="208">
        <v>-64</v>
      </c>
      <c r="G9" s="8"/>
      <c r="H9" s="208">
        <v>-344</v>
      </c>
      <c r="I9" s="8"/>
      <c r="J9" s="15" t="s">
        <v>8</v>
      </c>
      <c r="K9" s="240"/>
      <c r="L9" s="12"/>
    </row>
    <row r="10" spans="1:12" s="97" customFormat="1" ht="21.75" customHeight="1" x14ac:dyDescent="0.25">
      <c r="A10" s="93"/>
      <c r="B10" s="46" t="s">
        <v>9</v>
      </c>
      <c r="C10" s="241"/>
      <c r="D10" s="241"/>
      <c r="E10" s="74"/>
      <c r="F10" s="197">
        <v>131</v>
      </c>
      <c r="G10" s="74"/>
      <c r="H10" s="197">
        <v>699</v>
      </c>
      <c r="I10" s="74"/>
      <c r="J10" s="28" t="s">
        <v>8</v>
      </c>
      <c r="K10" s="30"/>
      <c r="L10" s="62"/>
    </row>
    <row r="11" spans="1:12" ht="21.75" customHeight="1" x14ac:dyDescent="0.25">
      <c r="A11" s="2"/>
      <c r="B11" s="39" t="s">
        <v>10</v>
      </c>
      <c r="C11" s="47"/>
      <c r="D11" s="47"/>
      <c r="E11" s="3"/>
      <c r="F11" s="198">
        <v>319</v>
      </c>
      <c r="G11" s="74"/>
      <c r="H11" s="198">
        <v>247</v>
      </c>
      <c r="I11" s="74"/>
      <c r="J11" s="15">
        <v>-0.23</v>
      </c>
      <c r="K11" s="116"/>
      <c r="L11" s="9"/>
    </row>
    <row r="12" spans="1:12" ht="21.75" customHeight="1" x14ac:dyDescent="0.25">
      <c r="A12" s="2"/>
      <c r="B12" s="39" t="s">
        <v>266</v>
      </c>
      <c r="C12" s="47"/>
      <c r="D12" s="47"/>
      <c r="E12" s="3"/>
      <c r="F12" s="199">
        <v>0</v>
      </c>
      <c r="G12" s="74"/>
      <c r="H12" s="199">
        <v>0</v>
      </c>
      <c r="I12" s="74"/>
      <c r="J12" s="15" t="s">
        <v>36</v>
      </c>
      <c r="K12" s="116"/>
      <c r="L12" s="9"/>
    </row>
    <row r="13" spans="1:12" ht="21.75" customHeight="1" x14ac:dyDescent="0.25">
      <c r="A13" s="2"/>
      <c r="B13" s="39" t="s">
        <v>213</v>
      </c>
      <c r="C13" s="47"/>
      <c r="D13" s="47"/>
      <c r="E13" s="3"/>
      <c r="F13" s="201">
        <v>-188</v>
      </c>
      <c r="G13" s="74"/>
      <c r="H13" s="201">
        <v>452</v>
      </c>
      <c r="I13" s="74"/>
      <c r="J13" s="15" t="s">
        <v>8</v>
      </c>
      <c r="K13" s="116"/>
      <c r="L13" s="2"/>
    </row>
    <row r="14" spans="1:12" ht="21.75" customHeight="1" x14ac:dyDescent="0.25">
      <c r="A14" s="2"/>
      <c r="B14" s="39" t="s">
        <v>214</v>
      </c>
      <c r="C14" s="47"/>
      <c r="D14" s="47"/>
      <c r="E14" s="3"/>
      <c r="F14" s="199">
        <v>-44</v>
      </c>
      <c r="G14" s="74"/>
      <c r="H14" s="199">
        <v>21</v>
      </c>
      <c r="I14" s="74"/>
      <c r="J14" s="15" t="s">
        <v>8</v>
      </c>
      <c r="K14" s="116"/>
      <c r="L14" s="2"/>
    </row>
    <row r="15" spans="1:12" s="97" customFormat="1" ht="21.75" customHeight="1" x14ac:dyDescent="0.25">
      <c r="A15" s="93"/>
      <c r="B15" s="46" t="s">
        <v>54</v>
      </c>
      <c r="C15" s="241"/>
      <c r="D15" s="241"/>
      <c r="E15" s="74"/>
      <c r="F15" s="197">
        <v>-144</v>
      </c>
      <c r="G15" s="74"/>
      <c r="H15" s="197">
        <v>431</v>
      </c>
      <c r="I15" s="74"/>
      <c r="J15" s="28" t="s">
        <v>8</v>
      </c>
      <c r="K15" s="30"/>
      <c r="L15" s="8"/>
    </row>
    <row r="16" spans="1:12" s="97" customFormat="1" ht="22.5" customHeight="1" x14ac:dyDescent="0.25">
      <c r="A16" s="93"/>
      <c r="B16" s="94" t="s">
        <v>267</v>
      </c>
      <c r="C16" s="241"/>
      <c r="D16" s="241"/>
      <c r="E16" s="74"/>
      <c r="F16" s="198">
        <v>0</v>
      </c>
      <c r="G16" s="74"/>
      <c r="H16" s="198">
        <v>-2</v>
      </c>
      <c r="I16" s="74"/>
      <c r="J16" s="28" t="s">
        <v>8</v>
      </c>
      <c r="K16" s="30"/>
      <c r="L16" s="8"/>
    </row>
    <row r="17" spans="1:12" ht="21.75" customHeight="1" x14ac:dyDescent="0.25">
      <c r="A17" s="2"/>
      <c r="B17" s="39" t="s">
        <v>120</v>
      </c>
      <c r="C17" s="47"/>
      <c r="D17" s="47"/>
      <c r="E17" s="3"/>
      <c r="F17" s="202">
        <v>0</v>
      </c>
      <c r="G17" s="74"/>
      <c r="H17" s="202">
        <v>-2</v>
      </c>
      <c r="I17" s="74"/>
      <c r="J17" s="15" t="s">
        <v>8</v>
      </c>
      <c r="K17" s="116"/>
      <c r="L17" s="2"/>
    </row>
    <row r="18" spans="1:12" s="97" customFormat="1" ht="21.75" customHeight="1" thickBot="1" x14ac:dyDescent="0.3">
      <c r="A18" s="93"/>
      <c r="B18" s="46" t="s">
        <v>215</v>
      </c>
      <c r="C18" s="241"/>
      <c r="D18" s="241"/>
      <c r="E18" s="74"/>
      <c r="F18" s="203">
        <v>-144</v>
      </c>
      <c r="G18" s="74"/>
      <c r="H18" s="203">
        <v>431</v>
      </c>
      <c r="I18" s="74"/>
      <c r="J18" s="28" t="s">
        <v>8</v>
      </c>
      <c r="K18" s="30"/>
      <c r="L18" s="93"/>
    </row>
    <row r="19" spans="1:12" ht="27.75" customHeight="1" thickTop="1" x14ac:dyDescent="0.25">
      <c r="A19" s="2"/>
      <c r="B19" s="39" t="s">
        <v>152</v>
      </c>
      <c r="C19" s="47"/>
      <c r="D19" s="47"/>
      <c r="E19" s="3"/>
      <c r="F19" s="204">
        <v>89</v>
      </c>
      <c r="G19" s="118"/>
      <c r="H19" s="204">
        <v>96</v>
      </c>
      <c r="I19" s="118"/>
      <c r="J19" s="15">
        <v>0.08</v>
      </c>
      <c r="K19" s="242"/>
      <c r="L19" s="2"/>
    </row>
    <row r="20" spans="1:12" ht="18" x14ac:dyDescent="0.25">
      <c r="K20" s="242"/>
    </row>
    <row r="21" spans="1:12" ht="18" customHeight="1" x14ac:dyDescent="0.25">
      <c r="A21" s="2"/>
      <c r="B21" s="39"/>
      <c r="C21" s="47"/>
      <c r="D21" s="47"/>
      <c r="E21" s="3"/>
      <c r="F21" s="243"/>
      <c r="G21" s="4"/>
      <c r="H21" s="121"/>
      <c r="I21" s="4"/>
      <c r="J21" s="5"/>
      <c r="K21" s="242"/>
      <c r="L21" s="2"/>
    </row>
    <row r="22" spans="1:12" ht="11.25" customHeight="1" x14ac:dyDescent="0.3">
      <c r="A22" s="2"/>
      <c r="B22" s="244"/>
      <c r="C22" s="244"/>
      <c r="D22" s="245"/>
      <c r="E22" s="70"/>
      <c r="F22" s="246"/>
      <c r="G22" s="232"/>
      <c r="H22" s="246"/>
      <c r="I22" s="230"/>
      <c r="J22" s="15"/>
      <c r="K22" s="247"/>
      <c r="L22" s="230"/>
    </row>
    <row r="23" spans="1:12" ht="11.25" customHeight="1" thickBot="1" x14ac:dyDescent="0.35">
      <c r="A23" s="2"/>
      <c r="B23" s="129"/>
      <c r="C23" s="130"/>
      <c r="D23" s="131"/>
      <c r="E23" s="131"/>
      <c r="F23" s="132"/>
      <c r="G23" s="132"/>
      <c r="H23" s="132"/>
      <c r="I23" s="132"/>
      <c r="J23" s="133"/>
      <c r="K23" s="187"/>
      <c r="L23" s="230"/>
    </row>
    <row r="24" spans="1:12" ht="11.25" customHeight="1" thickTop="1" x14ac:dyDescent="0.3">
      <c r="A24" s="2"/>
      <c r="B24" s="244"/>
      <c r="C24" s="244"/>
      <c r="D24" s="245"/>
      <c r="E24" s="70"/>
      <c r="F24" s="246"/>
      <c r="G24" s="232"/>
      <c r="H24" s="246"/>
      <c r="I24" s="230"/>
      <c r="J24" s="15"/>
      <c r="K24" s="230"/>
      <c r="L24" s="230"/>
    </row>
    <row r="25" spans="1:12" ht="11.25" customHeight="1" x14ac:dyDescent="0.3">
      <c r="A25" s="2"/>
      <c r="B25" s="244"/>
      <c r="C25" s="244"/>
      <c r="D25" s="245"/>
      <c r="E25" s="70"/>
      <c r="F25" s="246"/>
      <c r="G25" s="232"/>
      <c r="H25" s="246"/>
      <c r="I25" s="230"/>
      <c r="J25" s="15"/>
      <c r="K25" s="230"/>
      <c r="L25" s="230"/>
    </row>
    <row r="26" spans="1:12" ht="18" customHeight="1" x14ac:dyDescent="0.3">
      <c r="A26" s="2"/>
      <c r="B26" s="233" t="s">
        <v>61</v>
      </c>
      <c r="C26" s="2" t="s">
        <v>268</v>
      </c>
      <c r="D26" s="245"/>
      <c r="E26" s="70"/>
      <c r="F26" s="246"/>
      <c r="G26" s="232"/>
      <c r="H26" s="246"/>
      <c r="I26" s="230"/>
      <c r="J26" s="15"/>
      <c r="K26" s="230"/>
      <c r="L26" s="230"/>
    </row>
    <row r="27" spans="1:12" ht="18" customHeight="1" x14ac:dyDescent="0.3">
      <c r="A27" s="2"/>
      <c r="B27" s="233"/>
      <c r="C27" s="2" t="s">
        <v>269</v>
      </c>
      <c r="D27" s="245"/>
      <c r="E27" s="70"/>
      <c r="F27" s="246"/>
      <c r="G27" s="232"/>
      <c r="H27" s="246"/>
      <c r="I27" s="230"/>
      <c r="J27" s="15"/>
      <c r="K27" s="230"/>
      <c r="L27" s="230"/>
    </row>
    <row r="28" spans="1:12" ht="18" customHeight="1" x14ac:dyDescent="0.3">
      <c r="A28" s="2"/>
      <c r="B28" s="233" t="s">
        <v>63</v>
      </c>
      <c r="C28" s="2" t="s">
        <v>70</v>
      </c>
      <c r="D28" s="245"/>
      <c r="E28" s="70"/>
      <c r="F28" s="246"/>
      <c r="G28" s="232"/>
      <c r="H28" s="246"/>
      <c r="I28" s="230"/>
      <c r="J28" s="15"/>
      <c r="K28" s="230"/>
      <c r="L28" s="230"/>
    </row>
    <row r="29" spans="1:12" ht="18" customHeight="1" x14ac:dyDescent="0.3">
      <c r="A29" s="2"/>
      <c r="B29" s="233"/>
      <c r="C29" s="2"/>
      <c r="D29" s="245"/>
      <c r="E29" s="70"/>
      <c r="F29" s="246"/>
      <c r="G29" s="232"/>
      <c r="H29" s="246"/>
      <c r="I29" s="230"/>
      <c r="J29" s="15"/>
      <c r="K29" s="230"/>
      <c r="L29" s="230"/>
    </row>
    <row r="30" spans="1:12" ht="9.75" customHeight="1" x14ac:dyDescent="0.3">
      <c r="A30" s="2"/>
      <c r="B30" s="134"/>
      <c r="C30" s="39"/>
      <c r="D30" s="8"/>
      <c r="E30" s="70"/>
      <c r="F30" s="248"/>
      <c r="G30" s="230"/>
      <c r="H30" s="248"/>
      <c r="I30" s="105"/>
      <c r="J30" s="15"/>
      <c r="K30" s="105"/>
      <c r="L30" s="105"/>
    </row>
    <row r="31" spans="1:12" ht="9.75" customHeight="1" x14ac:dyDescent="0.3">
      <c r="A31" s="2"/>
      <c r="B31" s="134"/>
      <c r="C31" s="39"/>
      <c r="D31" s="8"/>
      <c r="E31" s="70"/>
      <c r="F31" s="248"/>
      <c r="G31" s="230"/>
      <c r="H31" s="248"/>
      <c r="I31" s="105"/>
      <c r="J31" s="15"/>
      <c r="K31" s="105"/>
      <c r="L31" s="105"/>
    </row>
    <row r="32" spans="1:12" ht="9.75" customHeight="1" x14ac:dyDescent="0.3">
      <c r="A32" s="2"/>
      <c r="B32" s="134"/>
      <c r="C32" s="39"/>
      <c r="D32" s="8"/>
      <c r="E32" s="70"/>
      <c r="F32" s="248"/>
      <c r="G32" s="230"/>
      <c r="H32" s="248"/>
      <c r="I32" s="105"/>
      <c r="J32" s="15"/>
      <c r="K32" s="105"/>
      <c r="L32" s="105"/>
    </row>
    <row r="33" spans="1:12" ht="18" customHeight="1" x14ac:dyDescent="0.25">
      <c r="A33" s="2"/>
      <c r="B33" s="2" t="s">
        <v>71</v>
      </c>
      <c r="C33" s="12"/>
      <c r="D33" s="2"/>
      <c r="E33" s="2"/>
      <c r="F33" s="139"/>
      <c r="G33" s="139"/>
      <c r="H33" s="139"/>
      <c r="I33" s="139"/>
      <c r="J33" s="144"/>
      <c r="K33" s="158"/>
      <c r="L33" s="2"/>
    </row>
    <row r="34" spans="1:12" ht="18" customHeight="1" x14ac:dyDescent="0.25">
      <c r="A34" s="2"/>
      <c r="B34" s="2" t="s">
        <v>72</v>
      </c>
      <c r="C34" s="2"/>
      <c r="D34" s="2"/>
      <c r="E34" s="2"/>
      <c r="F34" s="139"/>
      <c r="G34" s="139"/>
      <c r="H34" s="139"/>
      <c r="I34" s="139"/>
      <c r="J34" s="144"/>
      <c r="K34" s="158"/>
      <c r="L34" s="2"/>
    </row>
    <row r="35" spans="1:12" ht="18" customHeight="1" x14ac:dyDescent="0.25">
      <c r="A35" s="2"/>
      <c r="B35" s="2"/>
      <c r="C35" s="2"/>
      <c r="D35" s="2"/>
      <c r="E35" s="2"/>
      <c r="F35" s="139"/>
      <c r="G35" s="139"/>
      <c r="H35" s="139"/>
      <c r="I35" s="139"/>
      <c r="J35" s="144"/>
      <c r="K35" s="158"/>
      <c r="L35" s="2"/>
    </row>
    <row r="36" spans="1:12" ht="18" customHeight="1" x14ac:dyDescent="0.25">
      <c r="A36" s="2"/>
      <c r="B36" s="2"/>
      <c r="C36" s="2"/>
      <c r="D36" s="2"/>
      <c r="E36" s="2"/>
      <c r="F36" s="139"/>
      <c r="G36" s="139"/>
      <c r="H36" s="139"/>
      <c r="I36" s="139"/>
      <c r="J36" s="144"/>
      <c r="K36" s="158"/>
      <c r="L36" s="2"/>
    </row>
    <row r="37" spans="1:12" ht="18" customHeight="1" x14ac:dyDescent="0.25">
      <c r="A37" s="2"/>
      <c r="B37" s="2"/>
      <c r="C37" s="2"/>
      <c r="D37" s="2"/>
      <c r="E37" s="2"/>
      <c r="F37" s="139"/>
      <c r="G37" s="139"/>
      <c r="H37" s="139"/>
      <c r="I37" s="139"/>
      <c r="J37" s="144"/>
      <c r="K37" s="158"/>
      <c r="L37" s="2"/>
    </row>
    <row r="38" spans="1:12" ht="18" customHeight="1" x14ac:dyDescent="0.25">
      <c r="A38" s="2"/>
      <c r="B38" s="2"/>
      <c r="C38" s="2"/>
      <c r="D38" s="2"/>
      <c r="E38" s="2"/>
      <c r="F38" s="139"/>
      <c r="G38" s="139"/>
      <c r="H38" s="139"/>
      <c r="I38" s="139"/>
      <c r="J38" s="144"/>
      <c r="K38" s="158"/>
      <c r="L38" s="2"/>
    </row>
  </sheetData>
  <pageMargins left="0" right="0" top="0.06" bottom="0.06" header="0" footer="0"/>
  <pageSetup scale="41" orientation="landscape" r:id="rId1"/>
  <headerFooter alignWithMargins="0">
    <oddFooter>&amp;R&amp;"Times New Roman,Bold"&amp;18Page 10</oddFooter>
  </headerFooter>
  <rowBreaks count="1" manualBreakCount="1">
    <brk id="36" max="6553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showGridLines="0" zoomScale="80" workbookViewId="0">
      <pane xSplit="5" ySplit="8" topLeftCell="F10" activePane="bottomRight" state="frozen"/>
      <selection activeCell="E25" sqref="E25"/>
      <selection pane="topRight" activeCell="E25" sqref="E25"/>
      <selection pane="bottomLeft" activeCell="E25" sqref="E25"/>
      <selection pane="bottomRight" activeCell="B31" sqref="B31"/>
    </sheetView>
  </sheetViews>
  <sheetFormatPr defaultRowHeight="15" x14ac:dyDescent="0.2"/>
  <cols>
    <col min="1" max="1" width="4.83203125" style="19" customWidth="1"/>
    <col min="2" max="2" width="6.6640625" style="19" customWidth="1"/>
    <col min="3" max="3" width="4.83203125" style="19" customWidth="1"/>
    <col min="4" max="4" width="100.83203125" style="19" customWidth="1"/>
    <col min="5" max="6" width="2.83203125" style="19" customWidth="1"/>
    <col min="7" max="7" width="20.83203125" style="19" customWidth="1"/>
    <col min="8" max="8" width="2.83203125" style="19" customWidth="1"/>
    <col min="9" max="9" width="20.83203125" style="19" customWidth="1"/>
    <col min="10" max="10" width="2.83203125" style="19" customWidth="1"/>
    <col min="11" max="11" width="4" style="19" customWidth="1"/>
    <col min="12" max="12" width="2.83203125" style="19" customWidth="1"/>
    <col min="13" max="13" width="20.83203125" style="19" customWidth="1"/>
    <col min="14" max="14" width="2.83203125" style="19" customWidth="1"/>
    <col min="15" max="15" width="20.83203125" style="19" customWidth="1"/>
    <col min="16" max="16" width="2.83203125" style="19" customWidth="1"/>
    <col min="17" max="17" width="1.83203125" style="19" customWidth="1"/>
    <col min="18" max="18" width="18.83203125" style="19" customWidth="1"/>
    <col min="19" max="19" width="6.83203125" style="19" customWidth="1"/>
    <col min="20" max="20" width="18.83203125" style="19" customWidth="1"/>
    <col min="21" max="21" width="2.83203125" style="19" customWidth="1"/>
    <col min="22" max="22" width="6.83203125" style="19" customWidth="1"/>
    <col min="23" max="16384" width="9.33203125" style="19"/>
  </cols>
  <sheetData>
    <row r="1" spans="1:23" ht="18" customHeight="1" x14ac:dyDescent="0.25">
      <c r="A1" s="314" t="s">
        <v>109</v>
      </c>
      <c r="B1" s="79"/>
      <c r="C1" s="18"/>
      <c r="D1" s="216"/>
      <c r="E1" s="18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18"/>
    </row>
    <row r="2" spans="1:23" ht="26.25" customHeight="1" x14ac:dyDescent="0.3">
      <c r="B2" s="34" t="s">
        <v>270</v>
      </c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36"/>
      <c r="Q2" s="236"/>
      <c r="R2" s="236"/>
      <c r="S2" s="236"/>
      <c r="T2" s="315"/>
      <c r="U2" s="316"/>
      <c r="V2" s="316"/>
      <c r="W2" s="18"/>
    </row>
    <row r="3" spans="1:23" ht="18" customHeight="1" x14ac:dyDescent="0.25">
      <c r="B3" s="37" t="s">
        <v>271</v>
      </c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36"/>
      <c r="Q3" s="316"/>
      <c r="R3" s="316"/>
      <c r="S3" s="316"/>
      <c r="T3" s="316"/>
      <c r="U3" s="316"/>
      <c r="V3" s="124"/>
      <c r="W3" s="8"/>
    </row>
    <row r="4" spans="1:23" ht="18" customHeight="1" x14ac:dyDescent="0.25">
      <c r="B4" s="35"/>
      <c r="C4" s="220"/>
      <c r="D4" s="220"/>
      <c r="E4" s="220"/>
      <c r="F4" s="220"/>
      <c r="G4" s="220"/>
      <c r="H4" s="220"/>
      <c r="I4" s="220"/>
      <c r="J4" s="316"/>
      <c r="K4" s="316"/>
      <c r="L4" s="316"/>
      <c r="M4" s="220"/>
      <c r="N4" s="220"/>
      <c r="O4" s="220"/>
      <c r="P4" s="316"/>
      <c r="Q4" s="316"/>
      <c r="R4" s="316"/>
      <c r="S4" s="316"/>
      <c r="T4" s="316"/>
      <c r="U4" s="316"/>
      <c r="V4" s="124"/>
      <c r="W4" s="8"/>
    </row>
    <row r="5" spans="1:23" ht="18" customHeight="1" x14ac:dyDescent="0.25">
      <c r="A5" s="12"/>
      <c r="B5" s="33"/>
      <c r="C5" s="33"/>
      <c r="D5" s="33"/>
      <c r="E5" s="33"/>
      <c r="F5" s="33"/>
      <c r="G5" s="353" t="s">
        <v>272</v>
      </c>
      <c r="H5" s="353"/>
      <c r="I5" s="353"/>
      <c r="J5" s="41"/>
      <c r="K5" s="41"/>
      <c r="L5" s="40"/>
      <c r="M5" s="353" t="s">
        <v>273</v>
      </c>
      <c r="N5" s="353"/>
      <c r="O5" s="353"/>
      <c r="P5" s="41"/>
      <c r="Q5" s="40"/>
      <c r="R5" s="354" t="s">
        <v>274</v>
      </c>
      <c r="S5" s="353"/>
      <c r="T5" s="353"/>
      <c r="U5" s="353"/>
      <c r="V5" s="33"/>
      <c r="W5" s="12"/>
    </row>
    <row r="6" spans="1:23" ht="18.75" customHeight="1" x14ac:dyDescent="0.25">
      <c r="A6" s="12"/>
      <c r="B6" s="38"/>
      <c r="C6" s="86"/>
      <c r="D6" s="86"/>
      <c r="E6" s="86"/>
      <c r="F6" s="87"/>
      <c r="G6" s="313"/>
      <c r="H6" s="40"/>
      <c r="I6" s="313"/>
      <c r="J6" s="40"/>
      <c r="K6" s="87"/>
      <c r="L6" s="87"/>
      <c r="M6" s="313"/>
      <c r="N6" s="40"/>
      <c r="O6" s="313"/>
      <c r="P6" s="41"/>
      <c r="Q6" s="8"/>
      <c r="R6" s="313"/>
      <c r="S6" s="40"/>
      <c r="T6" s="313"/>
      <c r="U6" s="40"/>
      <c r="V6" s="12"/>
      <c r="W6" s="12"/>
    </row>
    <row r="7" spans="1:23" ht="15" customHeight="1" x14ac:dyDescent="0.25">
      <c r="A7" s="12"/>
      <c r="B7" s="38"/>
      <c r="C7" s="85"/>
      <c r="D7" s="86"/>
      <c r="E7" s="87"/>
      <c r="F7" s="87"/>
      <c r="G7" s="313"/>
      <c r="H7" s="41"/>
      <c r="I7" s="313"/>
      <c r="J7" s="41"/>
      <c r="K7" s="87"/>
      <c r="L7" s="87"/>
      <c r="M7" s="313"/>
      <c r="N7" s="41"/>
      <c r="O7" s="313"/>
      <c r="P7" s="313"/>
      <c r="Q7" s="62"/>
      <c r="R7" s="313"/>
      <c r="S7" s="41"/>
      <c r="T7" s="313"/>
      <c r="U7" s="41"/>
      <c r="V7" s="12"/>
      <c r="W7" s="12"/>
    </row>
    <row r="8" spans="1:23" ht="21" customHeight="1" x14ac:dyDescent="0.3">
      <c r="A8" s="12"/>
      <c r="B8" s="317" t="s">
        <v>275</v>
      </c>
      <c r="C8" s="221"/>
      <c r="D8" s="222"/>
      <c r="E8" s="45"/>
      <c r="F8" s="45"/>
      <c r="G8" s="355" t="s">
        <v>2</v>
      </c>
      <c r="H8" s="8"/>
      <c r="I8" s="355" t="s">
        <v>1</v>
      </c>
      <c r="J8" s="228"/>
      <c r="K8" s="45"/>
      <c r="L8" s="45"/>
      <c r="M8" s="355" t="s">
        <v>2</v>
      </c>
      <c r="N8" s="8"/>
      <c r="O8" s="355" t="s">
        <v>1</v>
      </c>
      <c r="P8" s="42"/>
      <c r="Q8" s="75"/>
      <c r="R8" s="355" t="s">
        <v>2</v>
      </c>
      <c r="S8" s="8"/>
      <c r="T8" s="355" t="s">
        <v>1</v>
      </c>
      <c r="U8" s="228"/>
      <c r="V8" s="12"/>
      <c r="W8" s="12"/>
    </row>
    <row r="9" spans="1:23" ht="19.5" customHeight="1" x14ac:dyDescent="0.25">
      <c r="A9" s="12"/>
      <c r="B9" s="318" t="s">
        <v>74</v>
      </c>
      <c r="C9" s="319"/>
      <c r="D9" s="320"/>
      <c r="E9" s="45"/>
      <c r="F9" s="45"/>
      <c r="G9" s="43"/>
      <c r="H9" s="14"/>
      <c r="I9" s="43"/>
      <c r="J9" s="14"/>
      <c r="K9" s="45"/>
      <c r="L9" s="45"/>
      <c r="M9" s="43"/>
      <c r="N9" s="14"/>
      <c r="O9" s="42"/>
      <c r="P9" s="42"/>
      <c r="Q9" s="75"/>
      <c r="R9" s="43"/>
      <c r="S9" s="14"/>
      <c r="T9" s="43"/>
      <c r="U9" s="14"/>
      <c r="V9" s="12"/>
      <c r="W9" s="12"/>
    </row>
    <row r="10" spans="1:23" ht="21.75" customHeight="1" x14ac:dyDescent="0.25">
      <c r="A10" s="12"/>
      <c r="B10" s="224"/>
      <c r="C10" s="111" t="s">
        <v>276</v>
      </c>
      <c r="D10" s="307"/>
      <c r="E10" s="45"/>
      <c r="F10" s="45"/>
      <c r="G10" s="321">
        <v>295330</v>
      </c>
      <c r="H10" s="322"/>
      <c r="I10" s="321">
        <v>305658</v>
      </c>
      <c r="J10" s="258"/>
      <c r="K10" s="45"/>
      <c r="L10" s="45"/>
      <c r="M10" s="323">
        <v>159</v>
      </c>
      <c r="N10" s="258"/>
      <c r="O10" s="323">
        <v>2343</v>
      </c>
      <c r="P10" s="324"/>
      <c r="Q10" s="324"/>
      <c r="R10" s="325">
        <v>2.0999999999999999E-3</v>
      </c>
      <c r="S10" s="326"/>
      <c r="T10" s="325">
        <v>3.04E-2</v>
      </c>
      <c r="U10" s="77"/>
      <c r="V10" s="12"/>
      <c r="W10" s="12"/>
    </row>
    <row r="11" spans="1:23" ht="18" customHeight="1" x14ac:dyDescent="0.25">
      <c r="A11" s="12"/>
      <c r="B11" s="224"/>
      <c r="C11" s="111" t="s">
        <v>277</v>
      </c>
      <c r="D11" s="307"/>
      <c r="E11" s="45"/>
      <c r="F11" s="45"/>
      <c r="G11" s="327">
        <v>341256</v>
      </c>
      <c r="H11" s="328"/>
      <c r="I11" s="327">
        <v>358513</v>
      </c>
      <c r="J11" s="22"/>
      <c r="K11" s="45"/>
      <c r="L11" s="45"/>
      <c r="M11" s="110">
        <v>289</v>
      </c>
      <c r="N11" s="22"/>
      <c r="O11" s="110">
        <v>3779</v>
      </c>
      <c r="P11" s="324"/>
      <c r="Q11" s="324"/>
      <c r="R11" s="325">
        <v>3.3999999999999998E-3</v>
      </c>
      <c r="S11" s="326"/>
      <c r="T11" s="325">
        <v>4.1799999999999997E-2</v>
      </c>
      <c r="U11" s="329"/>
      <c r="V11" s="12"/>
      <c r="W11" s="12"/>
    </row>
    <row r="12" spans="1:23" ht="18" customHeight="1" x14ac:dyDescent="0.25">
      <c r="A12" s="12"/>
      <c r="B12" s="224"/>
      <c r="C12" s="111" t="s">
        <v>278</v>
      </c>
      <c r="D12" s="307"/>
      <c r="E12" s="45"/>
      <c r="F12" s="45"/>
      <c r="G12" s="327">
        <v>269149</v>
      </c>
      <c r="H12" s="328"/>
      <c r="I12" s="327">
        <v>277374</v>
      </c>
      <c r="J12" s="22"/>
      <c r="K12" s="45"/>
      <c r="L12" s="45"/>
      <c r="M12" s="110">
        <v>1276</v>
      </c>
      <c r="N12" s="22"/>
      <c r="O12" s="110">
        <v>2626</v>
      </c>
      <c r="P12" s="324"/>
      <c r="Q12" s="324"/>
      <c r="R12" s="325">
        <v>1.8800000000000001E-2</v>
      </c>
      <c r="S12" s="326"/>
      <c r="T12" s="325">
        <v>3.7600000000000001E-2</v>
      </c>
      <c r="U12" s="329"/>
      <c r="V12" s="12"/>
      <c r="W12" s="12"/>
    </row>
    <row r="13" spans="1:23" ht="18" customHeight="1" x14ac:dyDescent="0.25">
      <c r="A13" s="12"/>
      <c r="B13" s="224"/>
      <c r="C13" s="111" t="s">
        <v>279</v>
      </c>
      <c r="D13" s="307"/>
      <c r="E13" s="45"/>
      <c r="F13" s="45"/>
      <c r="G13" s="327">
        <v>512181</v>
      </c>
      <c r="H13" s="328"/>
      <c r="I13" s="327">
        <v>519072</v>
      </c>
      <c r="J13" s="22"/>
      <c r="K13" s="45"/>
      <c r="L13" s="45"/>
      <c r="M13" s="110">
        <v>1951</v>
      </c>
      <c r="N13" s="22"/>
      <c r="O13" s="110">
        <v>3812</v>
      </c>
      <c r="P13" s="324"/>
      <c r="Q13" s="324"/>
      <c r="R13" s="325">
        <v>1.5100000000000001E-2</v>
      </c>
      <c r="S13" s="326"/>
      <c r="T13" s="325">
        <v>2.9100000000000001E-2</v>
      </c>
      <c r="U13" s="329"/>
      <c r="V13" s="12"/>
      <c r="W13" s="12"/>
    </row>
    <row r="14" spans="1:23" ht="28.5" customHeight="1" x14ac:dyDescent="0.25">
      <c r="A14" s="12"/>
      <c r="B14" s="224"/>
      <c r="C14" s="111" t="s">
        <v>280</v>
      </c>
      <c r="D14" s="307"/>
      <c r="E14" s="45"/>
      <c r="F14" s="45"/>
      <c r="G14" s="327">
        <v>371481</v>
      </c>
      <c r="H14" s="328"/>
      <c r="I14" s="327">
        <v>360518</v>
      </c>
      <c r="J14" s="22"/>
      <c r="K14" s="45"/>
      <c r="L14" s="45"/>
      <c r="M14" s="110">
        <v>6618</v>
      </c>
      <c r="N14" s="22"/>
      <c r="O14" s="110">
        <v>8148</v>
      </c>
      <c r="P14" s="324"/>
      <c r="Q14" s="324"/>
      <c r="R14" s="325">
        <v>7.0699999999999999E-2</v>
      </c>
      <c r="S14" s="326"/>
      <c r="T14" s="325">
        <v>8.9700000000000002E-2</v>
      </c>
      <c r="U14" s="329"/>
      <c r="V14" s="12"/>
      <c r="W14" s="12"/>
    </row>
    <row r="15" spans="1:23" ht="18" customHeight="1" x14ac:dyDescent="0.25">
      <c r="A15" s="12"/>
      <c r="B15" s="224"/>
      <c r="C15" s="111" t="s">
        <v>281</v>
      </c>
      <c r="D15" s="307"/>
      <c r="E15" s="45"/>
      <c r="F15" s="45"/>
      <c r="G15" s="330">
        <v>295927</v>
      </c>
      <c r="H15" s="328"/>
      <c r="I15" s="330">
        <v>291984</v>
      </c>
      <c r="J15" s="22"/>
      <c r="K15" s="45"/>
      <c r="L15" s="45"/>
      <c r="M15" s="330">
        <v>2328</v>
      </c>
      <c r="N15" s="22"/>
      <c r="O15" s="330">
        <v>4121</v>
      </c>
      <c r="P15" s="324"/>
      <c r="Q15" s="324"/>
      <c r="R15" s="325">
        <v>3.1199999999999999E-2</v>
      </c>
      <c r="S15" s="326"/>
      <c r="T15" s="325">
        <v>5.6000000000000001E-2</v>
      </c>
      <c r="U15" s="329"/>
      <c r="V15" s="12"/>
      <c r="W15" s="12"/>
    </row>
    <row r="16" spans="1:23" ht="18" customHeight="1" x14ac:dyDescent="0.25">
      <c r="A16" s="12"/>
      <c r="B16" s="224"/>
      <c r="C16" s="111" t="s">
        <v>282</v>
      </c>
      <c r="D16" s="307"/>
      <c r="E16" s="45"/>
      <c r="F16" s="45"/>
      <c r="G16" s="327">
        <v>667408</v>
      </c>
      <c r="H16" s="328"/>
      <c r="I16" s="327">
        <v>652502</v>
      </c>
      <c r="J16" s="22"/>
      <c r="K16" s="45"/>
      <c r="L16" s="45"/>
      <c r="M16" s="110">
        <v>8946</v>
      </c>
      <c r="N16" s="22"/>
      <c r="O16" s="110">
        <v>12269</v>
      </c>
      <c r="P16" s="324"/>
      <c r="Q16" s="324"/>
      <c r="R16" s="325">
        <v>5.3199999999999997E-2</v>
      </c>
      <c r="S16" s="326"/>
      <c r="T16" s="325">
        <v>7.46E-2</v>
      </c>
      <c r="U16" s="329"/>
      <c r="V16" s="12"/>
      <c r="W16" s="12"/>
    </row>
    <row r="17" spans="1:23" ht="18" customHeight="1" x14ac:dyDescent="0.25">
      <c r="A17" s="12"/>
      <c r="B17" s="224"/>
      <c r="C17" s="111" t="s">
        <v>283</v>
      </c>
      <c r="D17" s="307"/>
      <c r="E17" s="45"/>
      <c r="F17" s="45"/>
      <c r="G17" s="327">
        <v>86527</v>
      </c>
      <c r="H17" s="328"/>
      <c r="I17" s="327">
        <v>98131</v>
      </c>
      <c r="J17" s="22"/>
      <c r="K17" s="45"/>
      <c r="L17" s="45"/>
      <c r="M17" s="110">
        <v>249</v>
      </c>
      <c r="N17" s="22"/>
      <c r="O17" s="110">
        <v>912</v>
      </c>
      <c r="P17" s="324"/>
      <c r="Q17" s="324"/>
      <c r="R17" s="325">
        <v>1.14E-2</v>
      </c>
      <c r="S17" s="326"/>
      <c r="T17" s="325">
        <v>3.6900000000000002E-2</v>
      </c>
      <c r="U17" s="329"/>
      <c r="V17" s="12"/>
      <c r="W17" s="12"/>
    </row>
    <row r="18" spans="1:23" s="191" customFormat="1" ht="21.75" customHeight="1" thickBot="1" x14ac:dyDescent="0.3">
      <c r="A18" s="92"/>
      <c r="B18" s="331" t="s">
        <v>284</v>
      </c>
      <c r="C18" s="331"/>
      <c r="D18" s="210"/>
      <c r="E18" s="76"/>
      <c r="F18" s="76"/>
      <c r="G18" s="332">
        <v>2171851</v>
      </c>
      <c r="H18" s="77"/>
      <c r="I18" s="332">
        <v>2211250</v>
      </c>
      <c r="J18" s="77"/>
      <c r="K18" s="76"/>
      <c r="L18" s="76"/>
      <c r="M18" s="332">
        <v>12870</v>
      </c>
      <c r="N18" s="77"/>
      <c r="O18" s="332">
        <v>25741</v>
      </c>
      <c r="P18" s="76"/>
      <c r="Q18" s="76"/>
      <c r="R18" s="325">
        <v>2.35E-2</v>
      </c>
      <c r="S18" s="326"/>
      <c r="T18" s="325">
        <v>4.6199999999999998E-2</v>
      </c>
      <c r="U18" s="77"/>
      <c r="V18" s="92"/>
      <c r="W18" s="92"/>
    </row>
    <row r="19" spans="1:23" s="96" customFormat="1" ht="18" customHeight="1" x14ac:dyDescent="0.25">
      <c r="A19" s="94"/>
      <c r="B19" s="223"/>
      <c r="C19" s="223"/>
      <c r="D19" s="54"/>
      <c r="E19" s="62"/>
      <c r="F19" s="62"/>
      <c r="G19" s="164"/>
      <c r="H19" s="21"/>
      <c r="I19" s="164"/>
      <c r="J19" s="21"/>
      <c r="K19" s="62"/>
      <c r="L19" s="62"/>
      <c r="M19" s="76"/>
      <c r="N19" s="77"/>
      <c r="O19" s="333"/>
      <c r="P19" s="76"/>
      <c r="Q19" s="76"/>
      <c r="R19" s="325"/>
      <c r="S19" s="326"/>
      <c r="T19" s="325"/>
      <c r="U19" s="77"/>
      <c r="V19" s="94"/>
      <c r="W19" s="94"/>
    </row>
    <row r="20" spans="1:23" ht="18" customHeight="1" x14ac:dyDescent="0.25">
      <c r="A20" s="12"/>
      <c r="B20" s="318" t="s">
        <v>94</v>
      </c>
      <c r="C20" s="319"/>
      <c r="D20" s="320"/>
      <c r="E20" s="45"/>
      <c r="F20" s="45"/>
      <c r="G20" s="43"/>
      <c r="H20" s="14"/>
      <c r="I20" s="43"/>
      <c r="J20" s="14"/>
      <c r="K20" s="45"/>
      <c r="L20" s="45"/>
      <c r="M20" s="43"/>
      <c r="N20" s="14"/>
      <c r="O20" s="43"/>
      <c r="P20" s="42"/>
      <c r="Q20" s="75"/>
      <c r="R20" s="325"/>
      <c r="S20" s="326"/>
      <c r="T20" s="325"/>
      <c r="U20" s="14"/>
      <c r="V20" s="12"/>
      <c r="W20" s="12"/>
    </row>
    <row r="21" spans="1:23" ht="24.75" customHeight="1" x14ac:dyDescent="0.25">
      <c r="A21" s="12"/>
      <c r="B21" s="224"/>
      <c r="C21" s="111" t="s">
        <v>285</v>
      </c>
      <c r="D21" s="307"/>
      <c r="E21" s="45"/>
      <c r="F21" s="45"/>
      <c r="G21" s="334">
        <v>1111944</v>
      </c>
      <c r="H21" s="258"/>
      <c r="I21" s="334">
        <v>1131425</v>
      </c>
      <c r="J21" s="258"/>
      <c r="K21" s="45"/>
      <c r="L21" s="45"/>
      <c r="M21" s="334">
        <v>778</v>
      </c>
      <c r="N21" s="258"/>
      <c r="O21" s="334">
        <v>5998</v>
      </c>
      <c r="P21" s="258"/>
      <c r="Q21" s="324"/>
      <c r="R21" s="325">
        <v>2.8E-3</v>
      </c>
      <c r="S21" s="326"/>
      <c r="T21" s="325">
        <v>2.1000000000000001E-2</v>
      </c>
      <c r="U21" s="329"/>
      <c r="V21" s="12"/>
      <c r="W21" s="12"/>
    </row>
    <row r="22" spans="1:23" ht="18" customHeight="1" x14ac:dyDescent="0.25">
      <c r="A22" s="12"/>
      <c r="B22" s="224"/>
      <c r="C22" s="111" t="s">
        <v>286</v>
      </c>
      <c r="D22" s="307"/>
      <c r="E22" s="45"/>
      <c r="F22" s="45"/>
      <c r="G22" s="110">
        <v>221948</v>
      </c>
      <c r="H22" s="22"/>
      <c r="I22" s="110">
        <v>205138</v>
      </c>
      <c r="J22" s="22"/>
      <c r="K22" s="45"/>
      <c r="L22" s="45"/>
      <c r="M22" s="110">
        <v>212</v>
      </c>
      <c r="N22" s="22"/>
      <c r="O22" s="110">
        <v>2267</v>
      </c>
      <c r="P22" s="22"/>
      <c r="Q22" s="324"/>
      <c r="R22" s="325">
        <v>3.8E-3</v>
      </c>
      <c r="S22" s="326"/>
      <c r="T22" s="325">
        <v>4.3799999999999999E-2</v>
      </c>
      <c r="U22" s="329"/>
      <c r="V22" s="12"/>
      <c r="W22" s="12"/>
    </row>
    <row r="23" spans="1:23" ht="18" customHeight="1" x14ac:dyDescent="0.25">
      <c r="A23" s="12"/>
      <c r="B23" s="224"/>
      <c r="C23" s="111" t="s">
        <v>287</v>
      </c>
      <c r="D23" s="307"/>
      <c r="E23" s="45"/>
      <c r="F23" s="45"/>
      <c r="G23" s="110">
        <v>114233</v>
      </c>
      <c r="H23" s="22"/>
      <c r="I23" s="110">
        <v>121423</v>
      </c>
      <c r="J23" s="22"/>
      <c r="K23" s="45"/>
      <c r="L23" s="45"/>
      <c r="M23" s="110">
        <v>112</v>
      </c>
      <c r="N23" s="22"/>
      <c r="O23" s="110">
        <v>681</v>
      </c>
      <c r="P23" s="22"/>
      <c r="Q23" s="324"/>
      <c r="R23" s="325">
        <v>3.8999999999999998E-3</v>
      </c>
      <c r="S23" s="326"/>
      <c r="T23" s="325">
        <v>2.23E-2</v>
      </c>
      <c r="U23" s="329"/>
      <c r="V23" s="12"/>
      <c r="W23" s="12"/>
    </row>
    <row r="24" spans="1:23" ht="18" customHeight="1" x14ac:dyDescent="0.25">
      <c r="A24" s="12"/>
      <c r="B24" s="224"/>
      <c r="C24" s="111" t="s">
        <v>288</v>
      </c>
      <c r="D24" s="307"/>
      <c r="E24" s="45"/>
      <c r="F24" s="45"/>
      <c r="G24" s="110">
        <v>103523</v>
      </c>
      <c r="H24" s="22"/>
      <c r="I24" s="110">
        <v>153326</v>
      </c>
      <c r="J24" s="22"/>
      <c r="K24" s="45"/>
      <c r="L24" s="45"/>
      <c r="M24" s="110">
        <v>51</v>
      </c>
      <c r="N24" s="22"/>
      <c r="O24" s="110">
        <v>1420</v>
      </c>
      <c r="P24" s="22"/>
      <c r="Q24" s="324"/>
      <c r="R24" s="325">
        <v>2E-3</v>
      </c>
      <c r="S24" s="326"/>
      <c r="T24" s="325">
        <v>3.6700000000000003E-2</v>
      </c>
      <c r="U24" s="329"/>
      <c r="V24" s="12"/>
      <c r="W24" s="12"/>
    </row>
    <row r="25" spans="1:23" ht="18" customHeight="1" x14ac:dyDescent="0.25">
      <c r="A25" s="12"/>
      <c r="B25" s="224"/>
      <c r="C25" s="111" t="s">
        <v>289</v>
      </c>
      <c r="D25" s="307"/>
      <c r="E25" s="45"/>
      <c r="F25" s="45"/>
      <c r="G25" s="110">
        <v>175804</v>
      </c>
      <c r="H25" s="22"/>
      <c r="I25" s="110">
        <v>169642</v>
      </c>
      <c r="J25" s="22"/>
      <c r="K25" s="45"/>
      <c r="L25" s="45"/>
      <c r="M25" s="110">
        <v>856</v>
      </c>
      <c r="N25" s="22"/>
      <c r="O25" s="110">
        <v>2072</v>
      </c>
      <c r="P25" s="22"/>
      <c r="Q25" s="324"/>
      <c r="R25" s="325">
        <v>1.9300000000000001E-2</v>
      </c>
      <c r="S25" s="326"/>
      <c r="T25" s="325">
        <v>4.8500000000000001E-2</v>
      </c>
      <c r="U25" s="329"/>
      <c r="V25" s="12"/>
      <c r="W25" s="12"/>
    </row>
    <row r="26" spans="1:23" s="96" customFormat="1" ht="22.5" customHeight="1" thickBot="1" x14ac:dyDescent="0.3">
      <c r="A26" s="94"/>
      <c r="B26" s="223" t="s">
        <v>290</v>
      </c>
      <c r="C26" s="223"/>
      <c r="D26" s="54"/>
      <c r="E26" s="62"/>
      <c r="F26" s="62"/>
      <c r="G26" s="332">
        <v>1727452</v>
      </c>
      <c r="H26" s="77"/>
      <c r="I26" s="332">
        <v>1780954</v>
      </c>
      <c r="J26" s="77"/>
      <c r="K26" s="76"/>
      <c r="L26" s="76"/>
      <c r="M26" s="332">
        <v>2009</v>
      </c>
      <c r="N26" s="77"/>
      <c r="O26" s="332">
        <v>12438</v>
      </c>
      <c r="P26" s="21"/>
      <c r="Q26" s="76"/>
      <c r="R26" s="325">
        <v>4.5999999999999999E-3</v>
      </c>
      <c r="S26" s="326"/>
      <c r="T26" s="325">
        <v>2.7699999999999999E-2</v>
      </c>
      <c r="U26" s="77"/>
      <c r="V26" s="94"/>
      <c r="W26" s="94"/>
    </row>
    <row r="27" spans="1:23" s="96" customFormat="1" ht="18" customHeight="1" x14ac:dyDescent="0.25">
      <c r="A27" s="94"/>
      <c r="B27" s="223"/>
      <c r="C27" s="223"/>
      <c r="D27" s="54"/>
      <c r="E27" s="62"/>
      <c r="F27" s="62"/>
      <c r="G27" s="335"/>
      <c r="H27" s="21"/>
      <c r="I27" s="335"/>
      <c r="J27" s="21"/>
      <c r="K27" s="62"/>
      <c r="L27" s="62"/>
      <c r="M27" s="335"/>
      <c r="N27" s="77"/>
      <c r="O27" s="335"/>
      <c r="P27" s="21"/>
      <c r="Q27" s="76"/>
      <c r="R27" s="325"/>
      <c r="S27" s="326"/>
      <c r="T27" s="325"/>
      <c r="U27" s="77"/>
      <c r="V27" s="94"/>
      <c r="W27" s="94"/>
    </row>
    <row r="28" spans="1:23" ht="18" customHeight="1" thickBot="1" x14ac:dyDescent="0.3">
      <c r="A28" s="12"/>
      <c r="B28" s="223"/>
      <c r="C28" s="12"/>
      <c r="D28" s="12"/>
      <c r="E28" s="8"/>
      <c r="F28" s="8"/>
      <c r="G28" s="23"/>
      <c r="H28" s="49"/>
      <c r="I28" s="23"/>
      <c r="J28" s="49"/>
      <c r="K28" s="8"/>
      <c r="L28" s="8"/>
      <c r="M28" s="23"/>
      <c r="N28" s="61"/>
      <c r="O28" s="23"/>
      <c r="P28" s="72"/>
      <c r="Q28" s="72"/>
      <c r="R28" s="325"/>
      <c r="S28" s="61"/>
      <c r="T28" s="325"/>
      <c r="U28" s="61"/>
      <c r="V28" s="12"/>
      <c r="W28" s="12"/>
    </row>
    <row r="29" spans="1:23" s="96" customFormat="1" ht="28.5" customHeight="1" thickBot="1" x14ac:dyDescent="0.4">
      <c r="A29" s="94"/>
      <c r="B29" s="300" t="s">
        <v>291</v>
      </c>
      <c r="C29" s="306"/>
      <c r="D29" s="68"/>
      <c r="E29" s="68"/>
      <c r="F29" s="68"/>
      <c r="G29" s="336"/>
      <c r="H29" s="302"/>
      <c r="I29" s="336"/>
      <c r="J29" s="302"/>
      <c r="K29" s="68"/>
      <c r="L29" s="68"/>
      <c r="M29" s="336">
        <v>10861</v>
      </c>
      <c r="N29" s="337"/>
      <c r="O29" s="336">
        <v>13303</v>
      </c>
      <c r="P29" s="338"/>
      <c r="Q29" s="338"/>
      <c r="R29" s="339">
        <v>1.9800000000000002E-2</v>
      </c>
      <c r="S29" s="340"/>
      <c r="T29" s="339">
        <v>2.3900000000000001E-2</v>
      </c>
      <c r="U29" s="337"/>
      <c r="V29" s="305"/>
      <c r="W29" s="94"/>
    </row>
    <row r="30" spans="1:23" s="96" customFormat="1" ht="18" customHeight="1" thickBot="1" x14ac:dyDescent="0.4">
      <c r="A30" s="94"/>
      <c r="B30" s="55"/>
      <c r="C30" s="341"/>
      <c r="D30" s="62"/>
      <c r="E30" s="62"/>
      <c r="F30" s="62"/>
      <c r="G30" s="138"/>
      <c r="H30" s="21"/>
      <c r="I30" s="138"/>
      <c r="J30" s="21"/>
      <c r="K30" s="62"/>
      <c r="L30" s="62"/>
      <c r="M30" s="138"/>
      <c r="N30" s="77"/>
      <c r="O30" s="138"/>
      <c r="P30" s="76"/>
      <c r="Q30" s="76"/>
      <c r="R30" s="325"/>
      <c r="S30" s="326"/>
      <c r="T30" s="325"/>
      <c r="U30" s="77"/>
      <c r="V30" s="62"/>
      <c r="W30" s="94"/>
    </row>
    <row r="31" spans="1:23" s="96" customFormat="1" ht="28.5" customHeight="1" thickBot="1" x14ac:dyDescent="0.4">
      <c r="A31" s="94"/>
      <c r="B31" s="300" t="s">
        <v>292</v>
      </c>
      <c r="C31" s="306"/>
      <c r="D31" s="68"/>
      <c r="E31" s="68"/>
      <c r="F31" s="68"/>
      <c r="G31" s="342"/>
      <c r="H31" s="342"/>
      <c r="I31" s="342"/>
      <c r="J31" s="302"/>
      <c r="K31" s="68"/>
      <c r="L31" s="68"/>
      <c r="M31" s="343"/>
      <c r="N31" s="337"/>
      <c r="O31" s="343"/>
      <c r="P31" s="338"/>
      <c r="Q31" s="338"/>
      <c r="R31" s="344">
        <v>41</v>
      </c>
      <c r="S31" s="337" t="s">
        <v>293</v>
      </c>
      <c r="T31" s="344"/>
      <c r="U31" s="337"/>
      <c r="V31" s="305"/>
      <c r="W31" s="94"/>
    </row>
    <row r="32" spans="1:23" s="96" customFormat="1" ht="18" customHeight="1" x14ac:dyDescent="0.35">
      <c r="A32" s="94"/>
      <c r="B32" s="55"/>
      <c r="C32" s="341"/>
      <c r="D32" s="62"/>
      <c r="E32" s="62"/>
      <c r="F32" s="62"/>
      <c r="G32" s="108"/>
      <c r="H32" s="108"/>
      <c r="I32" s="108"/>
      <c r="J32" s="21"/>
      <c r="K32" s="62"/>
      <c r="L32" s="62"/>
      <c r="M32" s="345"/>
      <c r="N32" s="77"/>
      <c r="O32" s="345"/>
      <c r="P32" s="76"/>
      <c r="Q32" s="76"/>
      <c r="R32" s="346"/>
      <c r="S32" s="77"/>
      <c r="T32" s="346"/>
      <c r="U32" s="77"/>
      <c r="V32" s="62"/>
      <c r="W32" s="94"/>
    </row>
    <row r="33" spans="1:23" s="96" customFormat="1" ht="18" customHeight="1" x14ac:dyDescent="0.35">
      <c r="A33" s="160"/>
      <c r="B33" s="160" t="s">
        <v>61</v>
      </c>
      <c r="C33" s="347" t="s">
        <v>294</v>
      </c>
      <c r="D33" s="348"/>
      <c r="E33" s="8"/>
      <c r="F33" s="62"/>
      <c r="G33" s="108"/>
      <c r="H33" s="21"/>
      <c r="I33" s="108"/>
      <c r="J33" s="21"/>
      <c r="K33" s="62"/>
      <c r="L33" s="62"/>
      <c r="M33" s="345"/>
      <c r="N33" s="77"/>
      <c r="O33" s="349"/>
      <c r="P33" s="76"/>
      <c r="Q33" s="76"/>
      <c r="R33" s="345"/>
      <c r="S33" s="77"/>
      <c r="T33" s="345"/>
      <c r="U33" s="61"/>
      <c r="V33" s="8"/>
      <c r="W33" s="94"/>
    </row>
    <row r="34" spans="1:23" s="96" customFormat="1" ht="18" customHeight="1" x14ac:dyDescent="0.35">
      <c r="A34" s="160"/>
      <c r="B34" s="160" t="s">
        <v>63</v>
      </c>
      <c r="C34" s="111" t="s">
        <v>295</v>
      </c>
      <c r="D34" s="348"/>
      <c r="E34" s="8"/>
      <c r="F34" s="62"/>
      <c r="G34" s="108"/>
      <c r="H34" s="21"/>
      <c r="I34" s="108"/>
      <c r="J34" s="21"/>
      <c r="K34" s="62"/>
      <c r="L34" s="62"/>
      <c r="M34" s="345"/>
      <c r="N34" s="77"/>
      <c r="O34" s="345"/>
      <c r="P34" s="76"/>
      <c r="Q34" s="76"/>
      <c r="R34" s="345"/>
      <c r="S34" s="77"/>
      <c r="T34" s="345"/>
      <c r="U34" s="61"/>
      <c r="V34" s="8"/>
      <c r="W34" s="94"/>
    </row>
    <row r="35" spans="1:23" s="96" customFormat="1" ht="18" customHeight="1" x14ac:dyDescent="0.35">
      <c r="A35" s="160"/>
      <c r="B35" s="160" t="s">
        <v>65</v>
      </c>
      <c r="C35" s="111" t="s">
        <v>296</v>
      </c>
      <c r="D35" s="348"/>
      <c r="E35" s="8"/>
      <c r="F35" s="62"/>
      <c r="G35" s="108"/>
      <c r="H35" s="21"/>
      <c r="I35" s="350"/>
      <c r="J35" s="21"/>
      <c r="K35" s="62"/>
      <c r="L35" s="62"/>
      <c r="M35" s="345"/>
      <c r="N35" s="77"/>
      <c r="O35" s="345"/>
      <c r="P35" s="76"/>
      <c r="Q35" s="76"/>
      <c r="R35" s="345"/>
      <c r="S35" s="77"/>
      <c r="T35" s="345"/>
      <c r="U35" s="61"/>
      <c r="V35" s="8"/>
      <c r="W35" s="94"/>
    </row>
    <row r="36" spans="1:23" s="96" customFormat="1" ht="18" customHeight="1" x14ac:dyDescent="0.35">
      <c r="A36" s="160"/>
      <c r="B36" s="160" t="s">
        <v>67</v>
      </c>
      <c r="C36" s="111" t="s">
        <v>297</v>
      </c>
      <c r="D36" s="348"/>
      <c r="E36" s="8"/>
      <c r="F36" s="62"/>
      <c r="G36" s="108"/>
      <c r="H36" s="21"/>
      <c r="I36" s="108"/>
      <c r="J36" s="21"/>
      <c r="K36" s="62"/>
      <c r="L36" s="62"/>
      <c r="M36" s="345"/>
      <c r="N36" s="77"/>
      <c r="O36" s="345"/>
      <c r="P36" s="76"/>
      <c r="Q36" s="76"/>
      <c r="R36" s="345"/>
      <c r="S36" s="77"/>
      <c r="T36" s="325"/>
      <c r="U36" s="61"/>
      <c r="V36" s="8"/>
      <c r="W36" s="94"/>
    </row>
    <row r="37" spans="1:23" s="96" customFormat="1" ht="18" customHeight="1" x14ac:dyDescent="0.35">
      <c r="A37" s="160"/>
      <c r="B37" s="160" t="s">
        <v>69</v>
      </c>
      <c r="C37" s="111" t="s">
        <v>298</v>
      </c>
      <c r="D37" s="348"/>
      <c r="E37" s="8"/>
      <c r="F37" s="62"/>
      <c r="G37" s="108"/>
      <c r="H37" s="21"/>
      <c r="I37" s="108"/>
      <c r="J37" s="21"/>
      <c r="K37" s="62"/>
      <c r="L37" s="62"/>
      <c r="M37" s="345"/>
      <c r="N37" s="77"/>
      <c r="O37" s="345"/>
      <c r="P37" s="76"/>
      <c r="Q37" s="76"/>
      <c r="R37" s="345"/>
      <c r="S37" s="77"/>
      <c r="T37" s="345"/>
      <c r="U37" s="61"/>
      <c r="V37" s="8"/>
      <c r="W37" s="94"/>
    </row>
    <row r="38" spans="1:23" s="96" customFormat="1" ht="18" customHeight="1" x14ac:dyDescent="0.35">
      <c r="A38" s="160"/>
      <c r="B38" s="160" t="s">
        <v>299</v>
      </c>
      <c r="C38" s="111" t="s">
        <v>300</v>
      </c>
      <c r="D38" s="348"/>
      <c r="E38" s="8"/>
      <c r="F38" s="62"/>
      <c r="G38" s="108"/>
      <c r="H38" s="21"/>
      <c r="I38" s="108"/>
      <c r="J38" s="21"/>
      <c r="K38" s="62"/>
      <c r="L38" s="62"/>
      <c r="M38" s="345"/>
      <c r="N38" s="77"/>
      <c r="O38" s="345"/>
      <c r="P38" s="76"/>
      <c r="Q38" s="76"/>
      <c r="R38" s="345"/>
      <c r="S38" s="77"/>
      <c r="T38" s="345"/>
      <c r="U38" s="61"/>
      <c r="V38" s="8"/>
      <c r="W38" s="94"/>
    </row>
    <row r="39" spans="1:23" s="96" customFormat="1" ht="18" customHeight="1" x14ac:dyDescent="0.35">
      <c r="A39" s="160"/>
      <c r="B39" s="160"/>
      <c r="C39" s="111" t="s">
        <v>301</v>
      </c>
      <c r="D39" s="348"/>
      <c r="E39" s="8"/>
      <c r="F39" s="62"/>
      <c r="G39" s="108"/>
      <c r="H39" s="21"/>
      <c r="I39" s="108"/>
      <c r="J39" s="21"/>
      <c r="K39" s="62"/>
      <c r="L39" s="62"/>
      <c r="M39" s="345"/>
      <c r="N39" s="77"/>
      <c r="O39" s="345"/>
      <c r="P39" s="76"/>
      <c r="Q39" s="76"/>
      <c r="R39" s="345"/>
      <c r="S39" s="77"/>
      <c r="T39" s="345"/>
      <c r="U39" s="61"/>
      <c r="V39" s="8"/>
      <c r="W39" s="94"/>
    </row>
    <row r="40" spans="1:23" s="96" customFormat="1" ht="18" customHeight="1" x14ac:dyDescent="0.35">
      <c r="A40" s="160"/>
      <c r="B40" s="160" t="s">
        <v>302</v>
      </c>
      <c r="C40" s="111" t="s">
        <v>303</v>
      </c>
      <c r="D40" s="348"/>
      <c r="E40" s="8"/>
      <c r="F40" s="62"/>
      <c r="G40" s="108"/>
      <c r="H40" s="21"/>
      <c r="I40" s="108"/>
      <c r="J40" s="21"/>
      <c r="K40" s="62"/>
      <c r="L40" s="62"/>
      <c r="M40" s="345"/>
      <c r="N40" s="77"/>
      <c r="O40" s="345"/>
      <c r="P40" s="76"/>
      <c r="Q40" s="76"/>
      <c r="R40" s="345"/>
      <c r="S40" s="77"/>
      <c r="T40" s="345"/>
      <c r="U40" s="61"/>
      <c r="V40" s="8"/>
      <c r="W40" s="94"/>
    </row>
    <row r="41" spans="1:23" s="96" customFormat="1" ht="18" customHeight="1" x14ac:dyDescent="0.35">
      <c r="A41" s="160"/>
      <c r="B41" s="160"/>
      <c r="C41" s="111" t="s">
        <v>304</v>
      </c>
      <c r="D41" s="348"/>
      <c r="E41" s="8"/>
      <c r="F41" s="62"/>
      <c r="G41" s="108"/>
      <c r="H41" s="21"/>
      <c r="I41" s="108"/>
      <c r="J41" s="21"/>
      <c r="K41" s="62"/>
      <c r="L41" s="62"/>
      <c r="M41" s="345"/>
      <c r="N41" s="77"/>
      <c r="O41" s="345"/>
      <c r="P41" s="76"/>
      <c r="Q41" s="76"/>
      <c r="R41" s="345"/>
      <c r="S41" s="77"/>
      <c r="T41" s="345"/>
      <c r="U41" s="61"/>
      <c r="V41" s="8"/>
      <c r="W41" s="94"/>
    </row>
    <row r="42" spans="1:23" s="96" customFormat="1" ht="18" customHeight="1" x14ac:dyDescent="0.35">
      <c r="A42" s="160"/>
      <c r="B42" s="160" t="s">
        <v>305</v>
      </c>
      <c r="C42" s="111" t="s">
        <v>306</v>
      </c>
      <c r="D42" s="348"/>
      <c r="E42" s="8"/>
      <c r="F42" s="62"/>
      <c r="G42" s="108"/>
      <c r="H42" s="21"/>
      <c r="I42" s="108"/>
      <c r="J42" s="21"/>
      <c r="K42" s="62"/>
      <c r="L42" s="62"/>
      <c r="M42" s="345"/>
      <c r="N42" s="77"/>
      <c r="O42" s="345"/>
      <c r="P42" s="76"/>
      <c r="Q42" s="76"/>
      <c r="R42" s="345"/>
      <c r="S42" s="77"/>
      <c r="T42" s="345"/>
      <c r="U42" s="61"/>
      <c r="V42" s="8"/>
      <c r="W42" s="94"/>
    </row>
    <row r="43" spans="1:23" s="96" customFormat="1" ht="17.25" customHeight="1" x14ac:dyDescent="0.25">
      <c r="A43" s="160"/>
      <c r="B43" s="160" t="s">
        <v>307</v>
      </c>
      <c r="C43" s="2" t="s">
        <v>62</v>
      </c>
      <c r="D43" s="8"/>
      <c r="E43" s="8"/>
      <c r="F43" s="62"/>
      <c r="G43" s="108"/>
      <c r="H43" s="21"/>
      <c r="I43" s="108"/>
      <c r="J43" s="21"/>
      <c r="K43" s="62"/>
      <c r="L43" s="62"/>
      <c r="M43" s="345"/>
      <c r="N43" s="77"/>
      <c r="O43" s="345"/>
      <c r="P43" s="76"/>
      <c r="Q43" s="76"/>
      <c r="R43" s="345"/>
      <c r="S43" s="77"/>
      <c r="T43" s="345"/>
      <c r="U43" s="61"/>
      <c r="V43" s="8"/>
      <c r="W43" s="94"/>
    </row>
    <row r="44" spans="1:23" s="96" customFormat="1" ht="18" customHeight="1" x14ac:dyDescent="0.35">
      <c r="A44" s="160"/>
      <c r="B44" s="160" t="s">
        <v>308</v>
      </c>
      <c r="C44" s="111" t="s">
        <v>309</v>
      </c>
      <c r="D44" s="348"/>
      <c r="E44" s="8"/>
      <c r="F44" s="62"/>
      <c r="G44" s="108"/>
      <c r="H44" s="21"/>
      <c r="I44" s="108"/>
      <c r="J44" s="21"/>
      <c r="K44" s="62"/>
      <c r="L44" s="62"/>
      <c r="M44" s="345"/>
      <c r="N44" s="77"/>
      <c r="O44" s="345"/>
      <c r="P44" s="76"/>
      <c r="Q44" s="76"/>
      <c r="R44" s="345"/>
      <c r="S44" s="77"/>
      <c r="T44" s="345"/>
      <c r="U44" s="61"/>
      <c r="V44" s="8"/>
      <c r="W44" s="94"/>
    </row>
    <row r="45" spans="1:23" s="96" customFormat="1" ht="18" customHeight="1" x14ac:dyDescent="0.35">
      <c r="A45" s="160"/>
      <c r="B45" s="111"/>
      <c r="C45" s="348"/>
      <c r="D45" s="8"/>
      <c r="E45" s="62"/>
      <c r="F45" s="62"/>
      <c r="G45" s="108"/>
      <c r="H45" s="21"/>
      <c r="I45" s="108"/>
      <c r="J45" s="21"/>
      <c r="K45" s="62"/>
      <c r="L45" s="62"/>
      <c r="M45" s="345"/>
      <c r="N45" s="77"/>
      <c r="O45" s="345"/>
      <c r="P45" s="76"/>
      <c r="Q45" s="76"/>
      <c r="R45" s="345"/>
      <c r="S45" s="77"/>
      <c r="T45" s="345"/>
      <c r="U45" s="61"/>
      <c r="V45" s="8"/>
      <c r="W45" s="94"/>
    </row>
    <row r="46" spans="1:23" ht="18" customHeight="1" x14ac:dyDescent="0.25">
      <c r="A46" s="12"/>
      <c r="B46" s="111" t="s">
        <v>72</v>
      </c>
      <c r="C46" s="12"/>
      <c r="D46" s="12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2"/>
    </row>
    <row r="47" spans="1:23" ht="18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8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8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8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8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</sheetData>
  <pageMargins left="0" right="0" top="0.06" bottom="0.06" header="0" footer="0"/>
  <pageSetup scale="40" orientation="landscape" r:id="rId1"/>
  <headerFooter alignWithMargins="0">
    <oddFooter>&amp;R&amp;"Times New Roman,Bold"&amp;18Page 11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RightsWATCHMark">8|CITI-No PII-Internal|{00000000-0000-0000-0000-000000000000}</XMLData>
</file>

<file path=customXml/item2.xml><?xml version="1.0" encoding="utf-8"?>
<XMLData TextToDisplay="%CLASSIFICATIONDATETIME%">16:43 07/02/2022</XMLData>
</file>

<file path=customXml/item3.xml><?xml version="1.0" encoding="utf-8"?>
<XMLData TextToDisplay="%DOCUMENTGUID%">{00000000-0000-0000-0000-000000000000}</XMLData>
</file>

<file path=customXml/itemProps1.xml><?xml version="1.0" encoding="utf-8"?>
<ds:datastoreItem xmlns:ds="http://schemas.openxmlformats.org/officeDocument/2006/customXml" ds:itemID="{B3DE3E8B-4E39-4AC4-A90D-3B3384F45882}">
  <ds:schemaRefs/>
</ds:datastoreItem>
</file>

<file path=customXml/itemProps2.xml><?xml version="1.0" encoding="utf-8"?>
<ds:datastoreItem xmlns:ds="http://schemas.openxmlformats.org/officeDocument/2006/customXml" ds:itemID="{92CF03A4-35DE-4182-8312-FD1C0E861E5D}">
  <ds:schemaRefs/>
</ds:datastoreItem>
</file>

<file path=customXml/itemProps3.xml><?xml version="1.0" encoding="utf-8"?>
<ds:datastoreItem xmlns:ds="http://schemas.openxmlformats.org/officeDocument/2006/customXml" ds:itemID="{87BA58AD-06E9-4BE4-B9A1-67C753F64D3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Summary</vt:lpstr>
      <vt:lpstr>Income Statement</vt:lpstr>
      <vt:lpstr>Balance Sheet</vt:lpstr>
      <vt:lpstr>Segment_Rep Unit Details</vt:lpstr>
      <vt:lpstr>ICG</vt:lpstr>
      <vt:lpstr>ICG (Page 2)</vt:lpstr>
      <vt:lpstr>PBWM</vt:lpstr>
      <vt:lpstr>PBWM (Metrics)</vt:lpstr>
      <vt:lpstr>Legacy Franchises</vt:lpstr>
      <vt:lpstr>Corp_Other</vt:lpstr>
      <vt:lpstr>Averages - Yields </vt:lpstr>
      <vt:lpstr>'Averages - Yields '!Print_Area</vt:lpstr>
      <vt:lpstr>'Balance Sheet'!Print_Area</vt:lpstr>
      <vt:lpstr>Corp_Other!Print_Area</vt:lpstr>
      <vt:lpstr>ICG!Print_Area</vt:lpstr>
      <vt:lpstr>'ICG (Page 2)'!Print_Area</vt:lpstr>
      <vt:lpstr>'Income Statement'!Print_Area</vt:lpstr>
      <vt:lpstr>'Legacy Franchises'!Print_Area</vt:lpstr>
      <vt:lpstr>PBWM!Print_Area</vt:lpstr>
      <vt:lpstr>'PBWM (Metrics)'!Print_Area</vt:lpstr>
      <vt:lpstr>'Segment_Rep Unit Details'!Print_Area</vt:lpstr>
      <vt:lpstr>'Averages - Yields '!Print_Titles</vt:lpstr>
      <vt:lpstr>'Balance Sheet'!Print_Titles</vt:lpstr>
      <vt:lpstr>Corp_Other!Print_Titles</vt:lpstr>
      <vt:lpstr>ICG!Print_Titles</vt:lpstr>
      <vt:lpstr>'ICG (Page 2)'!Print_Titles</vt:lpstr>
      <vt:lpstr>'Income Statement'!Print_Titles</vt:lpstr>
      <vt:lpstr>'Legacy Franchises'!Print_Titles</vt:lpstr>
      <vt:lpstr>PBWM!Print_Titles</vt:lpstr>
      <vt:lpstr>'PBWM (Metrics)'!Print_Titles</vt:lpstr>
      <vt:lpstr>'Segment_Rep Unit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Rathee</dc:creator>
  <cp:lastModifiedBy>Isha Rathee</cp:lastModifiedBy>
  <cp:lastPrinted>2023-01-13T09:48:06Z</cp:lastPrinted>
  <dcterms:created xsi:type="dcterms:W3CDTF">2001-08-31T19:06:56Z</dcterms:created>
  <dcterms:modified xsi:type="dcterms:W3CDTF">2026-03-10T04:26:48Z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8|CITI-No PII-Internal|{00000000-0000-0000-0000-000000000000}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wsTag">
    <vt:lpwstr>3T05-5Y25-FK8I</vt:lpwstr>
  </property>
  <property fmtid="{D5CDD505-2E9C-101B-9397-08002B2CF9AE}" pid="6" name="wsVer">
    <vt:lpwstr>5.66</vt:lpwstr>
  </property>
</Properties>
</file>